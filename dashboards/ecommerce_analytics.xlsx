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an-Yves TRAN\FOR_GITHUB\Data_Analyst_Projects\project2_ecommerce_behavior_analytics\dashboards\"/>
    </mc:Choice>
  </mc:AlternateContent>
  <xr:revisionPtr revIDLastSave="0" documentId="13_ncr:1_{F42C3859-0904-4F15-B712-560B48FE70DF}" xr6:coauthVersionLast="47" xr6:coauthVersionMax="47" xr10:uidLastSave="{00000000-0000-0000-0000-000000000000}"/>
  <bookViews>
    <workbookView xWindow="30" yWindow="450" windowWidth="38400" windowHeight="20520" activeTab="7" xr2:uid="{00000000-000D-0000-FFFF-FFFF00000000}"/>
  </bookViews>
  <sheets>
    <sheet name="Overview" sheetId="1" r:id="rId1"/>
    <sheet name="01 Funnel" sheetId="2" r:id="rId2"/>
    <sheet name="02 Sessions" sheetId="3" r:id="rId3"/>
    <sheet name="03 RFM" sheetId="4" r:id="rId4"/>
    <sheet name="04 Cohort" sheetId="5" r:id="rId5"/>
    <sheet name="05 Category &amp; Brand" sheetId="6" r:id="rId6"/>
    <sheet name="06 Anomaly Detection" sheetId="7" r:id="rId7"/>
    <sheet name="07 COVID" sheetId="8" r:id="rId8"/>
  </sheets>
  <calcPr calcId="0"/>
</workbook>
</file>

<file path=xl/sharedStrings.xml><?xml version="1.0" encoding="utf-8"?>
<sst xmlns="http://schemas.openxmlformats.org/spreadsheetml/2006/main" count="304" uniqueCount="246">
  <si>
    <t>E-Commerce Behavior Analytics</t>
  </si>
  <si>
    <t>REES46 Open CDP  |  411,709,736 events  |  Oct 2019 - Apr 2020  |  Kazakhstan / CIS market</t>
  </si>
  <si>
    <t>Total Events</t>
  </si>
  <si>
    <t>Purchasing Users</t>
  </si>
  <si>
    <t>Overall Conversion</t>
  </si>
  <si>
    <t>Total Revenue (all categories)</t>
  </si>
  <si>
    <t>411,709,736</t>
  </si>
  <si>
    <t>2,064,899</t>
  </si>
  <si>
    <t>6.09%</t>
  </si>
  <si>
    <t>$2.06B</t>
  </si>
  <si>
    <t>Cart Abandonment Rate</t>
  </si>
  <si>
    <t>Champion Segment Revenue Share</t>
  </si>
  <si>
    <t>Month-1 Retention (avg)</t>
  </si>
  <si>
    <t>COVID Session Conversion Lift</t>
  </si>
  <si>
    <t>54.09%</t>
  </si>
  <si>
    <t>41.40%</t>
  </si>
  <si>
    <t>19.36%</t>
  </si>
  <si>
    <t>+18.0%</t>
  </si>
  <si>
    <t>Module Index</t>
  </si>
  <si>
    <t>Module</t>
  </si>
  <si>
    <t>Business Question</t>
  </si>
  <si>
    <t>Key Finding</t>
  </si>
  <si>
    <t>1. Funnel Analysis</t>
  </si>
  <si>
    <t>6.09% overall; 'construction' category leads at 8.24% (see Module 5 taxonomy note)</t>
  </si>
  <si>
    <t>2. Session Analytics</t>
  </si>
  <si>
    <t>How do users browse before buying?</t>
  </si>
  <si>
    <t>Conversion plateaus after 6 events/session; median purchase happens at event #5</t>
  </si>
  <si>
    <t>3. RFM Segmentation</t>
  </si>
  <si>
    <t>Who are the best customers?</t>
  </si>
  <si>
    <t>Champions: 13.2% of users generate 41.4% of revenue</t>
  </si>
  <si>
    <t>4. Cohort Retention</t>
  </si>
  <si>
    <t>Do customers come back?</t>
  </si>
  <si>
    <t>Month-1 retention averages 19.4% - the single biggest drop in the customer lifecycle</t>
  </si>
  <si>
    <t>5. Category &amp; Brand</t>
  </si>
  <si>
    <t>What drives revenue?</t>
  </si>
  <si>
    <t>Apple is the top brand by revenue ($929M); 'construction' taxonomy shift Dec 2019</t>
  </si>
  <si>
    <t>6. Anomaly Detection</t>
  </si>
  <si>
    <t>What looks unusual?</t>
  </si>
  <si>
    <t>Platform price cap at $2,574.07; confirmed logging gap Feb 27, 2020</t>
  </si>
  <si>
    <t>7. COVID Quasi-Experiment</t>
  </si>
  <si>
    <t>Did COVID change behavior?</t>
  </si>
  <si>
    <t>Session conversion +18% (p&lt;&lt;0.001); AOV fell 11.7%; retention catalyst not acquisition driver</t>
  </si>
  <si>
    <t>Module 1: Funnel Analysis</t>
  </si>
  <si>
    <t>What is the conversion rate from view -&gt; cart -&gt; purchase, and where does it break down?</t>
  </si>
  <si>
    <t>Sessions with View</t>
  </si>
  <si>
    <t>Overall Conversion Rate</t>
  </si>
  <si>
    <t>Direct-Purchase Sessions</t>
  </si>
  <si>
    <t>89,479,619</t>
  </si>
  <si>
    <t>530,292</t>
  </si>
  <si>
    <t>Funnel by Category (top 10 by conversion)</t>
  </si>
  <si>
    <t>Category (raw)</t>
  </si>
  <si>
    <t>Views</t>
  </si>
  <si>
    <t>Carts</t>
  </si>
  <si>
    <t>Purchases</t>
  </si>
  <si>
    <t>Conversion %</t>
  </si>
  <si>
    <t>construction</t>
  </si>
  <si>
    <t>electronics</t>
  </si>
  <si>
    <t>appliances</t>
  </si>
  <si>
    <t>sport</t>
  </si>
  <si>
    <t>unknown</t>
  </si>
  <si>
    <t>auto</t>
  </si>
  <si>
    <t>furniture</t>
  </si>
  <si>
    <t>computers</t>
  </si>
  <si>
    <t>apparel</t>
  </si>
  <si>
    <t>country_yard</t>
  </si>
  <si>
    <t>Funnel by Brand (top 8 by purchase volume)</t>
  </si>
  <si>
    <t>Brand</t>
  </si>
  <si>
    <t>Overall Conv %</t>
  </si>
  <si>
    <t>Cart-&gt;Purchase %</t>
  </si>
  <si>
    <t>samsung</t>
  </si>
  <si>
    <t>apple</t>
  </si>
  <si>
    <t>xiaomi</t>
  </si>
  <si>
    <t>huawei</t>
  </si>
  <si>
    <t>oppo</t>
  </si>
  <si>
    <t>lucente</t>
  </si>
  <si>
    <t>lg</t>
  </si>
  <si>
    <t>sony</t>
  </si>
  <si>
    <t>Module 2: Session Analytics</t>
  </si>
  <si>
    <t>How do users browse before they buy?</t>
  </si>
  <si>
    <t>Total Sessions</t>
  </si>
  <si>
    <t>Median Events / Session</t>
  </si>
  <si>
    <t>Median Session Duration</t>
  </si>
  <si>
    <t>Median Event # at Purchase</t>
  </si>
  <si>
    <t>89,693,595</t>
  </si>
  <si>
    <t>2</t>
  </si>
  <si>
    <t>42 sec</t>
  </si>
  <si>
    <t>5</t>
  </si>
  <si>
    <t>Conversion by Session Depth Bucket</t>
  </si>
  <si>
    <t>Event Bucket</t>
  </si>
  <si>
    <t>Purchasing Sessions</t>
  </si>
  <si>
    <t>1 event</t>
  </si>
  <si>
    <t>2-5 events</t>
  </si>
  <si>
    <t>6-10 events</t>
  </si>
  <si>
    <t>11-20 events</t>
  </si>
  <si>
    <t>21-50 events</t>
  </si>
  <si>
    <t>51+ events</t>
  </si>
  <si>
    <t>Converting vs. Non-Converting Sessions</t>
  </si>
  <si>
    <t>Session Type</t>
  </si>
  <si>
    <t>Sessions</t>
  </si>
  <si>
    <t>Avg Events</t>
  </si>
  <si>
    <t>Median Events</t>
  </si>
  <si>
    <t>Avg Carts</t>
  </si>
  <si>
    <t>Median Duration (min)</t>
  </si>
  <si>
    <t>Converting</t>
  </si>
  <si>
    <t>Non-Converting</t>
  </si>
  <si>
    <t>Module 3: RFM Segmentation</t>
  </si>
  <si>
    <t>Who are the best customers, and how concentrated is revenue among them?</t>
  </si>
  <si>
    <t>Champion Users</t>
  </si>
  <si>
    <t>Champion Revenue Share</t>
  </si>
  <si>
    <t>At Risk Users (win-back target)</t>
  </si>
  <si>
    <t>273,211 (13.23%)</t>
  </si>
  <si>
    <t>419,470</t>
  </si>
  <si>
    <t>Segment Distribution</t>
  </si>
  <si>
    <t>Segment</t>
  </si>
  <si>
    <t>% Users</t>
  </si>
  <si>
    <t>% Revenue</t>
  </si>
  <si>
    <t>Avg Recency (days)</t>
  </si>
  <si>
    <t>Avg Frequency</t>
  </si>
  <si>
    <t>Avg Monetary</t>
  </si>
  <si>
    <t>Champion</t>
  </si>
  <si>
    <t>Loyal</t>
  </si>
  <si>
    <t>At Risk</t>
  </si>
  <si>
    <t>Others</t>
  </si>
  <si>
    <t>Recent but Infrequent</t>
  </si>
  <si>
    <t>Lost</t>
  </si>
  <si>
    <t>Monetary Distribution by Segment</t>
  </si>
  <si>
    <t>P25</t>
  </si>
  <si>
    <t>Median</t>
  </si>
  <si>
    <t>P75</t>
  </si>
  <si>
    <t>P90</t>
  </si>
  <si>
    <t>Max</t>
  </si>
  <si>
    <t>Module 4: Cohort Retention</t>
  </si>
  <si>
    <t>Do customers come back month after month?</t>
  </si>
  <si>
    <t>Cohorts Tracked</t>
  </si>
  <si>
    <t>Avg M1 Retention</t>
  </si>
  <si>
    <t>Avg M6 Retention</t>
  </si>
  <si>
    <t>Largest Cohort</t>
  </si>
  <si>
    <t>7 (Oct 2019 - Apr 2020)</t>
  </si>
  <si>
    <t>8.08%</t>
  </si>
  <si>
    <t>Apr 2020 (320,535)</t>
  </si>
  <si>
    <t>Cohort Retention Matrix (blank = outside observation window, not zero)</t>
  </si>
  <si>
    <t>Cohort</t>
  </si>
  <si>
    <t>Cohort Users</t>
  </si>
  <si>
    <t>M0</t>
  </si>
  <si>
    <t>M1</t>
  </si>
  <si>
    <t>M2</t>
  </si>
  <si>
    <t>M3</t>
  </si>
  <si>
    <t>M4</t>
  </si>
  <si>
    <t>M5</t>
  </si>
  <si>
    <t>M6</t>
  </si>
  <si>
    <t>Oct 2019</t>
  </si>
  <si>
    <t>Nov 2019</t>
  </si>
  <si>
    <t>Dec 2019</t>
  </si>
  <si>
    <t>Jan 2020</t>
  </si>
  <si>
    <t>Feb 2020</t>
  </si>
  <si>
    <t>Mar 2020</t>
  </si>
  <si>
    <t>Apr 2020</t>
  </si>
  <si>
    <t>Average Retention Curve</t>
  </si>
  <si>
    <t>Months Since First Purchase</t>
  </si>
  <si>
    <t>Avg Retention</t>
  </si>
  <si>
    <t>Min</t>
  </si>
  <si>
    <t>Module 5: Category &amp; Brand Performance</t>
  </si>
  <si>
    <t>What drives revenue and where is demand concentrated?</t>
  </si>
  <si>
    <t>Total Platform Revenue</t>
  </si>
  <si>
    <t>Top Brand by Revenue</t>
  </si>
  <si>
    <t>Top Brand by Volume</t>
  </si>
  <si>
    <t>Most Premium Brand</t>
  </si>
  <si>
    <t>~$2.06B</t>
  </si>
  <si>
    <t>Apple ($929M)</t>
  </si>
  <si>
    <t>Samsung (1.57M purchases)</t>
  </si>
  <si>
    <t>Thermomix (avg $1,683)</t>
  </si>
  <si>
    <t>Category Performance (display names; 'DIY/Home Improvement' = raw 'construction' - see taxonomy note)</t>
  </si>
  <si>
    <t>Category</t>
  </si>
  <si>
    <t>Total Revenue</t>
  </si>
  <si>
    <t>Avg Price</t>
  </si>
  <si>
    <t>DIY / Home Improvement *</t>
  </si>
  <si>
    <t>Electronics</t>
  </si>
  <si>
    <t>Appliances</t>
  </si>
  <si>
    <t>Unknown / No Category</t>
  </si>
  <si>
    <t>Apparel</t>
  </si>
  <si>
    <t>Computers &amp; Peripherals</t>
  </si>
  <si>
    <t>Sports &amp; Outdoor</t>
  </si>
  <si>
    <t>Furniture &amp; Home</t>
  </si>
  <si>
    <t>* Taxonomy note: 'construction' contains Apple/Samsung/Xiaomi smartphones,</t>
  </si>
  <si>
    <t xml:space="preserve">  misclassified starting Dec 2, 2019. See README Data Quality section.</t>
  </si>
  <si>
    <t>Top 10 Brands by Revenue</t>
  </si>
  <si>
    <t>Categories</t>
  </si>
  <si>
    <t>acer</t>
  </si>
  <si>
    <t>lenovo</t>
  </si>
  <si>
    <t>Module 6: Anomaly Detection</t>
  </si>
  <si>
    <t>What purchase patterns and data signals look unusual?</t>
  </si>
  <si>
    <t>Platform Price Cap</t>
  </si>
  <si>
    <t>Confirmed Logging Gap</t>
  </si>
  <si>
    <t>Bot Sessions Detected</t>
  </si>
  <si>
    <t>Highest Traffic Day</t>
  </si>
  <si>
    <t>$2,574.07</t>
  </si>
  <si>
    <t>Feb 27, 2020</t>
  </si>
  <si>
    <t>374 (&gt;500 events)</t>
  </si>
  <si>
    <t>Nov 15, 2019 (6.2M events)</t>
  </si>
  <si>
    <t>Price Outlier Summary (IQR method) - top categories by outlier %</t>
  </si>
  <si>
    <t>Total Purchases</t>
  </si>
  <si>
    <t>Upper Fence</t>
  </si>
  <si>
    <t>Max Price</t>
  </si>
  <si>
    <t>Outlier Count</t>
  </si>
  <si>
    <t>Outlier %</t>
  </si>
  <si>
    <t>stationery</t>
  </si>
  <si>
    <t>kids</t>
  </si>
  <si>
    <t>Key Findings</t>
  </si>
  <si>
    <t>Finding</t>
  </si>
  <si>
    <t>Detail</t>
  </si>
  <si>
    <t>Price cap confirmed</t>
  </si>
  <si>
    <t>All major categories hit an identical max price ($2,574.07) - a platform-level price ceiling, not fraud.</t>
  </si>
  <si>
    <t>Bot detection</t>
  </si>
  <si>
    <t>374 sessions with &gt;500 events; top 10 all show 0 purchases, views only - confirmed scrapers.</t>
  </si>
  <si>
    <t>Logging gap</t>
  </si>
  <si>
    <t>Feb 27, 2020: 197,047 events vs ~2M normal (z=-18.84) - the only confirmed data outage.</t>
  </si>
  <si>
    <t>Taxonomy shift</t>
  </si>
  <si>
    <t>'construction' category revenue jumped from &lt;$1.1M/month to $217M in the week of Dec 2, 2019 - Apple/Samsung/Xiaomi reclassified from electronics.</t>
  </si>
  <si>
    <t>Module 7: COVID Quasi-Experiment</t>
  </si>
  <si>
    <t>Did the Kazakhstan COVID-19 lockdown (Mar 16, 2020) measurably change purchasing behaviour?</t>
  </si>
  <si>
    <t>Session Conversion Lift</t>
  </si>
  <si>
    <t>AOV Change</t>
  </si>
  <si>
    <t>Returning Buyer Daily Rate</t>
  </si>
  <si>
    <t>New Buyer Daily Rate</t>
  </si>
  <si>
    <t>+18.0% (p&lt;&lt;0.001)</t>
  </si>
  <si>
    <t>-11.7%</t>
  </si>
  <si>
    <t>+71%</t>
  </si>
  <si>
    <t>-6% (flat)</t>
  </si>
  <si>
    <t>Pre-COVID vs. COVID Onset</t>
  </si>
  <si>
    <t>Metric</t>
  </si>
  <si>
    <t>Pre-COVID</t>
  </si>
  <si>
    <t>COVID Onset</t>
  </si>
  <si>
    <t>Change</t>
  </si>
  <si>
    <t>Session Conversion %</t>
  </si>
  <si>
    <t>Avg Order Value ($)</t>
  </si>
  <si>
    <t>Avg Events / Session</t>
  </si>
  <si>
    <t>+25.3%</t>
  </si>
  <si>
    <t>Avg Products Viewed</t>
  </si>
  <si>
    <t>+22.2%</t>
  </si>
  <si>
    <t>Avg Session Revenue ($)</t>
  </si>
  <si>
    <t>-14.3%</t>
  </si>
  <si>
    <t>Category Revenue Mix Shift (Jan 2020 baseline; DIY/construction excluded - taxonomy artifact)</t>
  </si>
  <si>
    <t>Pre-COVID Share %</t>
  </si>
  <si>
    <t>COVID Share %</t>
  </si>
  <si>
    <t>Delta (pp)</t>
  </si>
  <si>
    <t>What is view-&gt; cart-&gt; purchase conversion?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</si>
</sst>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\$#,##0.00"/>
    <numFmt numFmtId="166" formatCode="0.0%"/>
    <numFmt numFmtId="167" formatCode="\$#,##0"/>
    <numFmt numFmtId="168" formatCode="0.000"/>
  </numFmts>
  <fonts count="9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2514E"/>
      <name val="Calibri"/>
    </font>
    <font>
      <sz val="10"/>
      <color rgb="FF52514E"/>
      <name val="Calibri"/>
    </font>
    <font>
      <b/>
      <sz val="14"/>
      <color rgb="FF1A2E4A"/>
      <name val="Calibri"/>
    </font>
    <font>
      <b/>
      <sz val="12"/>
      <color rgb="FF1A2E4A"/>
      <name val="Calibri"/>
    </font>
    <font>
      <b/>
      <sz val="10"/>
      <color rgb="FFFFFFFF"/>
      <name val="Calibri"/>
    </font>
    <font>
      <sz val="10"/>
      <color rgb="FF0B0B0B"/>
      <name val="Calibri"/>
    </font>
    <font>
      <b/>
      <sz val="11"/>
      <color rgb="FF1A2E4A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A2E4A"/>
      </patternFill>
    </fill>
    <fill>
      <patternFill patternType="solid">
        <fgColor rgb="FFF9F9F7"/>
      </patternFill>
    </fill>
    <fill>
      <patternFill patternType="solid">
        <fgColor rgb="FF2A78D6"/>
      </patternFill>
    </fill>
    <fill>
      <patternFill patternType="solid">
        <fgColor rgb="FFCDE2FB"/>
      </patternFill>
    </fill>
  </fills>
  <borders count="3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1E0D9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8" fillId="0" borderId="0" xfId="0" applyFont="1"/>
    <xf numFmtId="3" fontId="7" fillId="0" borderId="1" xfId="0" applyNumberFormat="1" applyFont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10" fontId="7" fillId="5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167" fontId="7" fillId="5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 indent="1"/>
    </xf>
    <xf numFmtId="0" fontId="4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168" fontId="4" fillId="3" borderId="0" xfId="0" applyNumberFormat="1" applyFont="1" applyFill="1" applyAlignment="1">
      <alignment horizontal="center" vertical="center"/>
    </xf>
    <xf numFmtId="168" fontId="0" fillId="0" borderId="0" xfId="0" applyNumberFormat="1"/>
    <xf numFmtId="0" fontId="6" fillId="4" borderId="2" xfId="0" applyFont="1" applyFill="1" applyBorder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7" fillId="5" borderId="0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0" xfId="0" applyFont="1" applyBorder="1" applyAlignment="1">
      <alignment horizontal="left" vertical="center"/>
    </xf>
    <xf numFmtId="0" fontId="8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Conversion Rate by Category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'01 Funnel'!$E$9</c:f>
              <c:strCache>
                <c:ptCount val="1"/>
                <c:pt idx="0">
                  <c:v>Conversion %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'01 Funnel'!$A$10:$A$19</c:f>
              <c:strCache>
                <c:ptCount val="10"/>
                <c:pt idx="0">
                  <c:v>construction</c:v>
                </c:pt>
                <c:pt idx="1">
                  <c:v>electronics</c:v>
                </c:pt>
                <c:pt idx="2">
                  <c:v>appliances</c:v>
                </c:pt>
                <c:pt idx="3">
                  <c:v>sport</c:v>
                </c:pt>
                <c:pt idx="4">
                  <c:v>unknown</c:v>
                </c:pt>
                <c:pt idx="5">
                  <c:v>auto</c:v>
                </c:pt>
                <c:pt idx="6">
                  <c:v>furniture</c:v>
                </c:pt>
                <c:pt idx="7">
                  <c:v>computers</c:v>
                </c:pt>
                <c:pt idx="8">
                  <c:v>apparel</c:v>
                </c:pt>
                <c:pt idx="9">
                  <c:v>country_yard</c:v>
                </c:pt>
              </c:strCache>
            </c:strRef>
          </c:cat>
          <c:val>
            <c:numRef>
              <c:f>'01 Funnel'!$E$10:$E$19</c:f>
              <c:numCache>
                <c:formatCode>0.00%</c:formatCode>
                <c:ptCount val="10"/>
                <c:pt idx="0">
                  <c:v>8.2400000000000001E-2</c:v>
                </c:pt>
                <c:pt idx="1">
                  <c:v>5.8099999999999999E-2</c:v>
                </c:pt>
                <c:pt idx="2">
                  <c:v>0.05</c:v>
                </c:pt>
                <c:pt idx="3">
                  <c:v>4.65E-2</c:v>
                </c:pt>
                <c:pt idx="4">
                  <c:v>4.0300000000000002E-2</c:v>
                </c:pt>
                <c:pt idx="5">
                  <c:v>3.3000000000000002E-2</c:v>
                </c:pt>
                <c:pt idx="6">
                  <c:v>3.1600000000000003E-2</c:v>
                </c:pt>
                <c:pt idx="7">
                  <c:v>3.0499999999999999E-2</c:v>
                </c:pt>
                <c:pt idx="8">
                  <c:v>3.0200000000000001E-2</c:v>
                </c:pt>
                <c:pt idx="9">
                  <c:v>2.76E-2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AA-4106-BE8E-3E352808D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Conversion %</a:t>
                </a:r>
              </a:p>
            </c:rich>
          </c:tx>
          <c:layout>
            <c:manualLayout>
              <c:xMode val="edge"/>
              <c:yMode val="edge"/>
              <c:x val="1.8832388921157684E-3"/>
              <c:y val="0.36310000000000003"/>
            </c:manualLayout>
          </c:layout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4.3338961795607492E-2"/>
          <c:y val="0.83569362920544021"/>
          <c:w val="0.90390573366167926"/>
          <c:h val="0.14006394655213553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Conversion Rate by Session Depth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'02 Sessions'!$D$9</c:f>
              <c:strCache>
                <c:ptCount val="1"/>
                <c:pt idx="0">
                  <c:v>Conversion %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'02 Sessions'!$A$10:$A$15</c:f>
              <c:strCache>
                <c:ptCount val="6"/>
                <c:pt idx="0">
                  <c:v>1 event</c:v>
                </c:pt>
                <c:pt idx="1">
                  <c:v>2-5 events</c:v>
                </c:pt>
                <c:pt idx="2">
                  <c:v>6-10 events</c:v>
                </c:pt>
                <c:pt idx="3">
                  <c:v>11-20 events</c:v>
                </c:pt>
                <c:pt idx="4">
                  <c:v>21-50 events</c:v>
                </c:pt>
                <c:pt idx="5">
                  <c:v>51+ events</c:v>
                </c:pt>
              </c:strCache>
            </c:strRef>
          </c:cat>
          <c:val>
            <c:numRef>
              <c:f>'02 Sessions'!$D$10:$D$15</c:f>
              <c:numCache>
                <c:formatCode>0.00%</c:formatCode>
                <c:ptCount val="6"/>
                <c:pt idx="0">
                  <c:v>1.5E-3</c:v>
                </c:pt>
                <c:pt idx="1">
                  <c:v>7.6499999999999999E-2</c:v>
                </c:pt>
                <c:pt idx="2">
                  <c:v>0.14180000000000001</c:v>
                </c:pt>
                <c:pt idx="3">
                  <c:v>0.1394</c:v>
                </c:pt>
                <c:pt idx="4">
                  <c:v>0.1404</c:v>
                </c:pt>
                <c:pt idx="5">
                  <c:v>0.15310000000000001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5-4868-BFF6-CC514B1FC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Conversion %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3.0370317346695298E-2"/>
          <c:y val="0.89380104166666663"/>
          <c:w val="0.94531997136721546"/>
          <c:h val="7.9740624999999996E-2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Users % vs. Revenue % by Segment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'03 RFM'!$B$9</c:f>
              <c:strCache>
                <c:ptCount val="1"/>
                <c:pt idx="0">
                  <c:v>% Users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91440" rIns="91440" bIns="91440" anchor="b" anchorCtr="1">
                <a:spAutoFit/>
              </a:bodyPr>
              <a:lstStyle/>
              <a:p>
                <a:pPr>
                  <a:defRPr>
                    <a:solidFill>
                      <a:schemeClr val="bg1">
                        <a:lumMod val="95000"/>
                      </a:schemeClr>
                    </a:solidFill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'03 RFM'!$A$10:$A$15</c:f>
              <c:strCache>
                <c:ptCount val="6"/>
                <c:pt idx="0">
                  <c:v>Champion</c:v>
                </c:pt>
                <c:pt idx="1">
                  <c:v>Loyal</c:v>
                </c:pt>
                <c:pt idx="2">
                  <c:v>At Risk</c:v>
                </c:pt>
                <c:pt idx="3">
                  <c:v>Others</c:v>
                </c:pt>
                <c:pt idx="4">
                  <c:v>Recent but Infrequent</c:v>
                </c:pt>
                <c:pt idx="5">
                  <c:v>Lost</c:v>
                </c:pt>
              </c:strCache>
            </c:strRef>
          </c:cat>
          <c:val>
            <c:numRef>
              <c:f>'03 RFM'!$B$10:$B$15</c:f>
              <c:numCache>
                <c:formatCode>0.00%</c:formatCode>
                <c:ptCount val="6"/>
                <c:pt idx="0">
                  <c:v>0.1323</c:v>
                </c:pt>
                <c:pt idx="1">
                  <c:v>0.26450000000000001</c:v>
                </c:pt>
                <c:pt idx="2">
                  <c:v>0.2031</c:v>
                </c:pt>
                <c:pt idx="3">
                  <c:v>0.2064</c:v>
                </c:pt>
                <c:pt idx="4">
                  <c:v>0.14000000000000001</c:v>
                </c:pt>
                <c:pt idx="5">
                  <c:v>5.3600000000000002E-2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9-4D87-A89A-D01A84E216AA}"/>
            </c:ext>
          </c:extLst>
        </c:ser>
        <c:ser>
          <c:idx val="1"/>
          <c:order val="1"/>
          <c:tx>
            <c:strRef>
              <c:f>'03 RFM'!$C$9</c:f>
              <c:strCache>
                <c:ptCount val="1"/>
                <c:pt idx="0">
                  <c:v>% Revenue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'03 RFM'!$A$10:$A$15</c:f>
              <c:strCache>
                <c:ptCount val="6"/>
                <c:pt idx="0">
                  <c:v>Champion</c:v>
                </c:pt>
                <c:pt idx="1">
                  <c:v>Loyal</c:v>
                </c:pt>
                <c:pt idx="2">
                  <c:v>At Risk</c:v>
                </c:pt>
                <c:pt idx="3">
                  <c:v>Others</c:v>
                </c:pt>
                <c:pt idx="4">
                  <c:v>Recent but Infrequent</c:v>
                </c:pt>
                <c:pt idx="5">
                  <c:v>Lost</c:v>
                </c:pt>
              </c:strCache>
            </c:strRef>
          </c:cat>
          <c:val>
            <c:numRef>
              <c:f>'03 RFM'!$C$10:$C$15</c:f>
              <c:numCache>
                <c:formatCode>0.00%</c:formatCode>
                <c:ptCount val="6"/>
                <c:pt idx="0">
                  <c:v>0.41399999999999998</c:v>
                </c:pt>
                <c:pt idx="1">
                  <c:v>0.25659999999999999</c:v>
                </c:pt>
                <c:pt idx="2">
                  <c:v>0.2218</c:v>
                </c:pt>
                <c:pt idx="3">
                  <c:v>5.7200000000000001E-2</c:v>
                </c:pt>
                <c:pt idx="4">
                  <c:v>3.56E-2</c:v>
                </c:pt>
                <c:pt idx="5">
                  <c:v>1.4800000000000001E-2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9-4D87-A89A-D01A84E21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0"/>
        <c:overlap val="-12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Share of total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Average Retention Curve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'04 Cohort'!$B$20</c:f>
              <c:strCache>
                <c:ptCount val="1"/>
                <c:pt idx="0">
                  <c:v>Avg Retention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dLbls>
            <c:dLbl>
              <c:idx val="1"/>
              <c:layout>
                <c:manualLayout>
                  <c:x val="0"/>
                  <c:y val="-3.96875000000000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815-4089-B20B-2205FE9DA97E}"/>
                </c:ext>
              </c:extLst>
            </c:dLbl>
            <c:dLbl>
              <c:idx val="2"/>
              <c:layout>
                <c:manualLayout>
                  <c:x val="0"/>
                  <c:y val="-4.4097222222222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815-4089-B20B-2205FE9DA97E}"/>
                </c:ext>
              </c:extLst>
            </c:dLbl>
            <c:dLbl>
              <c:idx val="3"/>
              <c:layout>
                <c:manualLayout>
                  <c:x val="0"/>
                  <c:y val="-3.96875000000000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15-4089-B20B-2205FE9DA97E}"/>
                </c:ext>
              </c:extLst>
            </c:dLbl>
            <c:dLbl>
              <c:idx val="4"/>
              <c:layout>
                <c:manualLayout>
                  <c:x val="-8.0843973490926958E-17"/>
                  <c:y val="-4.4097222222222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815-4089-B20B-2205FE9DA97E}"/>
                </c:ext>
              </c:extLst>
            </c:dLbl>
            <c:dLbl>
              <c:idx val="5"/>
              <c:layout>
                <c:manualLayout>
                  <c:x val="0"/>
                  <c:y val="-3.96875000000000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815-4089-B20B-2205FE9DA97E}"/>
                </c:ext>
              </c:extLst>
            </c:dLbl>
            <c:dLbl>
              <c:idx val="6"/>
              <c:layout>
                <c:manualLayout>
                  <c:x val="-4.409722222222222E-3"/>
                  <c:y val="-4.4097222222222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815-4089-B20B-2205FE9DA97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'04 Cohort'!$A$21:$A$27</c:f>
              <c:strCache>
                <c:ptCount val="7"/>
                <c:pt idx="0">
                  <c:v>M0</c:v>
                </c:pt>
                <c:pt idx="1">
                  <c:v>M1</c:v>
                </c:pt>
                <c:pt idx="2">
                  <c:v>M2</c:v>
                </c:pt>
                <c:pt idx="3">
                  <c:v>M3</c:v>
                </c:pt>
                <c:pt idx="4">
                  <c:v>M4</c:v>
                </c:pt>
                <c:pt idx="5">
                  <c:v>M5</c:v>
                </c:pt>
                <c:pt idx="6">
                  <c:v>M6</c:v>
                </c:pt>
              </c:strCache>
            </c:strRef>
          </c:cat>
          <c:val>
            <c:numRef>
              <c:f>'04 Cohort'!$B$21:$B$27</c:f>
              <c:numCache>
                <c:formatCode>0.0%</c:formatCode>
                <c:ptCount val="7"/>
                <c:pt idx="0">
                  <c:v>1</c:v>
                </c:pt>
                <c:pt idx="1">
                  <c:v>0.19359999999999999</c:v>
                </c:pt>
                <c:pt idx="2">
                  <c:v>0.14119999999999999</c:v>
                </c:pt>
                <c:pt idx="3">
                  <c:v>0.1149</c:v>
                </c:pt>
                <c:pt idx="4">
                  <c:v>0.10630000000000001</c:v>
                </c:pt>
                <c:pt idx="5">
                  <c:v>9.9400000000000002E-2</c:v>
                </c:pt>
                <c:pt idx="6">
                  <c:v>8.0799999999999997E-2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15-4089-B20B-2205FE9DA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Retention %</a:t>
                </a:r>
              </a:p>
            </c:rich>
          </c:tx>
          <c:overlay val="1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Revenue by Category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034211742949607E-2"/>
          <c:y val="4.8506944444444443E-2"/>
          <c:w val="0.95931576514100791"/>
          <c:h val="0.643920486111111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'05 Category &amp; Brand'!$D$9</c:f>
              <c:strCache>
                <c:ptCount val="1"/>
                <c:pt idx="0">
                  <c:v>Total Revenue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numFmt formatCode="\$#,##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 Category &amp; Brand'!$A$10:$A$17</c:f>
              <c:strCache>
                <c:ptCount val="8"/>
                <c:pt idx="0">
                  <c:v>DIY / Home Improvement *</c:v>
                </c:pt>
                <c:pt idx="1">
                  <c:v>Electronics</c:v>
                </c:pt>
                <c:pt idx="2">
                  <c:v>Appliances</c:v>
                </c:pt>
                <c:pt idx="3">
                  <c:v>Unknown / No Category</c:v>
                </c:pt>
                <c:pt idx="4">
                  <c:v>Apparel</c:v>
                </c:pt>
                <c:pt idx="5">
                  <c:v>Computers &amp; Peripherals</c:v>
                </c:pt>
                <c:pt idx="6">
                  <c:v>Sports &amp; Outdoor</c:v>
                </c:pt>
                <c:pt idx="7">
                  <c:v>Furniture &amp; Home</c:v>
                </c:pt>
              </c:strCache>
            </c:strRef>
          </c:cat>
          <c:val>
            <c:numRef>
              <c:f>'05 Category &amp; Brand'!$D$10:$D$17</c:f>
              <c:numCache>
                <c:formatCode>\$#,##0</c:formatCode>
                <c:ptCount val="8"/>
                <c:pt idx="0">
                  <c:v>1008523959</c:v>
                </c:pt>
                <c:pt idx="1">
                  <c:v>511171792</c:v>
                </c:pt>
                <c:pt idx="2">
                  <c:v>237020688</c:v>
                </c:pt>
                <c:pt idx="3">
                  <c:v>99842875</c:v>
                </c:pt>
                <c:pt idx="4">
                  <c:v>62552043</c:v>
                </c:pt>
                <c:pt idx="5">
                  <c:v>49987328</c:v>
                </c:pt>
                <c:pt idx="6">
                  <c:v>41518787</c:v>
                </c:pt>
                <c:pt idx="7">
                  <c:v>23122285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09-4B63-A1C2-043C43EB1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Revenue ($)</a:t>
                </a:r>
              </a:p>
            </c:rich>
          </c:tx>
          <c:layout>
            <c:manualLayout>
              <c:xMode val="edge"/>
              <c:yMode val="edge"/>
              <c:x val="2.204861111111111E-3"/>
              <c:y val="0.3253857638888889"/>
            </c:manualLayout>
          </c:layout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4.0088095784143477E-2"/>
          <c:y val="0.74093437500000003"/>
          <c:w val="0.92907007983225398"/>
          <c:h val="0.23260729166666666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 anchor="t" anchorCtr="0"/>
          <a:lstStyle/>
          <a:p>
            <a:pPr>
              <a:defRPr/>
            </a:pPr>
            <a:r>
              <a:rPr lang="en-US"/>
              <a:t>Session Conversion: Pre vs. COVID</a:t>
            </a:r>
          </a:p>
        </c:rich>
      </c:tx>
      <c:layout>
        <c:manualLayout>
          <c:xMode val="edge"/>
          <c:yMode val="edge"/>
          <c:x val="0.28021944444444447"/>
          <c:y val="0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'07 COVID'!$B$9</c:f>
              <c:strCache>
                <c:ptCount val="1"/>
                <c:pt idx="0">
                  <c:v>Pre-COVID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>
                        <a:lumMod val="95000"/>
                      </a:schemeClr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'07 COVID'!$A$10</c:f>
              <c:strCache>
                <c:ptCount val="1"/>
                <c:pt idx="0">
                  <c:v>Session Conversion %</c:v>
                </c:pt>
              </c:strCache>
            </c:strRef>
          </c:cat>
          <c:val>
            <c:numRef>
              <c:f>'07 COVID'!$B$10</c:f>
              <c:numCache>
                <c:formatCode>General</c:formatCode>
                <c:ptCount val="1"/>
                <c:pt idx="0">
                  <c:v>5.8400000000000001E-2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D-475D-AE14-33129808C872}"/>
            </c:ext>
          </c:extLst>
        </c:ser>
        <c:ser>
          <c:idx val="1"/>
          <c:order val="1"/>
          <c:tx>
            <c:strRef>
              <c:f>'07 COVID'!$C$9</c:f>
              <c:strCache>
                <c:ptCount val="1"/>
                <c:pt idx="0">
                  <c:v>COVID Onset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>
                        <a:lumMod val="95000"/>
                      </a:schemeClr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'07 COVID'!$A$10</c:f>
              <c:strCache>
                <c:ptCount val="1"/>
                <c:pt idx="0">
                  <c:v>Session Conversion %</c:v>
                </c:pt>
              </c:strCache>
            </c:strRef>
          </c:cat>
          <c:val>
            <c:numRef>
              <c:f>'07 COVID'!$C$10</c:f>
              <c:numCache>
                <c:formatCode>General</c:formatCode>
                <c:ptCount val="1"/>
                <c:pt idx="0">
                  <c:v>6.8900000000000003E-2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5D-475D-AE14-33129808C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Conversion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8372199074074073"/>
          <c:y val="0.92887745217059525"/>
          <c:w val="0.41491689814814814"/>
          <c:h val="7.1122547829404734E-2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609599</xdr:colOff>
      <xdr:row>8</xdr:row>
      <xdr:rowOff>0</xdr:rowOff>
    </xdr:from>
    <xdr:to>
      <xdr:col>16</xdr:col>
      <xdr:colOff>238125</xdr:colOff>
      <xdr:row>24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257175</xdr:colOff>
      <xdr:row>8</xdr:row>
      <xdr:rowOff>95250</xdr:rowOff>
    </xdr:from>
    <xdr:ext cx="6286500" cy="32419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19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838199</xdr:colOff>
      <xdr:row>10</xdr:row>
      <xdr:rowOff>104775</xdr:rowOff>
    </xdr:from>
    <xdr:ext cx="7867651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7</xdr:row>
      <xdr:rowOff>190499</xdr:rowOff>
    </xdr:from>
    <xdr:ext cx="4320000" cy="32289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zoomScale="130" zoomScaleNormal="130" workbookViewId="0">
      <selection activeCell="G20" sqref="G20"/>
    </sheetView>
  </sheetViews>
  <sheetFormatPr defaultRowHeight="15" x14ac:dyDescent="0.25"/>
  <cols>
    <col min="1" max="1" width="22.7109375" bestFit="1" customWidth="1"/>
    <col min="2" max="2" width="42" customWidth="1"/>
    <col min="3" max="3" width="76.28515625" bestFit="1" customWidth="1"/>
    <col min="6" max="6" width="13.7109375" customWidth="1"/>
    <col min="8" max="8" width="17.140625" customWidth="1"/>
  </cols>
  <sheetData>
    <row r="1" spans="1:8" ht="27.95" customHeight="1" x14ac:dyDescent="0.25">
      <c r="A1" s="27" t="s">
        <v>0</v>
      </c>
      <c r="B1" s="24"/>
      <c r="C1" s="24"/>
      <c r="D1" s="24"/>
      <c r="E1" s="24"/>
      <c r="F1" s="24"/>
      <c r="G1" s="24"/>
      <c r="H1" s="24"/>
    </row>
    <row r="2" spans="1:8" ht="18" customHeight="1" x14ac:dyDescent="0.25">
      <c r="A2" s="25" t="s">
        <v>1</v>
      </c>
      <c r="B2" s="24"/>
      <c r="C2" s="24"/>
      <c r="D2" s="24"/>
      <c r="E2" s="24"/>
      <c r="F2" s="24"/>
      <c r="G2" s="24"/>
      <c r="H2" s="24"/>
    </row>
    <row r="4" spans="1:8" ht="15.95" customHeight="1" x14ac:dyDescent="0.25">
      <c r="A4" s="23" t="s">
        <v>2</v>
      </c>
      <c r="B4" s="24"/>
      <c r="C4" s="23" t="s">
        <v>3</v>
      </c>
      <c r="D4" s="24"/>
      <c r="E4" s="23" t="s">
        <v>4</v>
      </c>
      <c r="F4" s="24"/>
      <c r="G4" s="23" t="s">
        <v>5</v>
      </c>
      <c r="H4" s="24"/>
    </row>
    <row r="5" spans="1:8" ht="24" customHeight="1" x14ac:dyDescent="0.25">
      <c r="A5" s="26" t="s">
        <v>6</v>
      </c>
      <c r="B5" s="24"/>
      <c r="C5" s="28" t="s">
        <v>7</v>
      </c>
      <c r="D5" s="29"/>
      <c r="E5" s="26" t="s">
        <v>8</v>
      </c>
      <c r="F5" s="24"/>
      <c r="G5" s="26" t="s">
        <v>9</v>
      </c>
      <c r="H5" s="24"/>
    </row>
    <row r="7" spans="1:8" ht="15.95" customHeight="1" x14ac:dyDescent="0.25">
      <c r="A7" s="23" t="s">
        <v>10</v>
      </c>
      <c r="B7" s="24"/>
      <c r="C7" s="23" t="s">
        <v>11</v>
      </c>
      <c r="D7" s="24"/>
      <c r="E7" s="23" t="s">
        <v>12</v>
      </c>
      <c r="F7" s="24"/>
      <c r="G7" s="23" t="s">
        <v>13</v>
      </c>
      <c r="H7" s="24"/>
    </row>
    <row r="8" spans="1:8" ht="24" customHeight="1" x14ac:dyDescent="0.25">
      <c r="A8" s="26" t="s">
        <v>14</v>
      </c>
      <c r="B8" s="24"/>
      <c r="C8" s="26" t="s">
        <v>15</v>
      </c>
      <c r="D8" s="24"/>
      <c r="E8" s="26" t="s">
        <v>16</v>
      </c>
      <c r="F8" s="24"/>
      <c r="G8" s="26" t="s">
        <v>17</v>
      </c>
      <c r="H8" s="24"/>
    </row>
    <row r="11" spans="1:8" ht="15.75" x14ac:dyDescent="0.25">
      <c r="A11" s="1" t="s">
        <v>18</v>
      </c>
    </row>
    <row r="12" spans="1:8" x14ac:dyDescent="0.25">
      <c r="A12" s="2" t="s">
        <v>19</v>
      </c>
      <c r="B12" s="2" t="s">
        <v>20</v>
      </c>
      <c r="C12" s="2" t="s">
        <v>21</v>
      </c>
    </row>
    <row r="13" spans="1:8" x14ac:dyDescent="0.25">
      <c r="A13" s="3" t="s">
        <v>22</v>
      </c>
      <c r="B13" s="4" t="s">
        <v>245</v>
      </c>
      <c r="C13" s="4" t="s">
        <v>23</v>
      </c>
    </row>
    <row r="14" spans="1:8" x14ac:dyDescent="0.25">
      <c r="A14" s="5" t="s">
        <v>24</v>
      </c>
      <c r="B14" s="6" t="s">
        <v>25</v>
      </c>
      <c r="C14" s="6" t="s">
        <v>26</v>
      </c>
    </row>
    <row r="15" spans="1:8" x14ac:dyDescent="0.25">
      <c r="A15" s="3" t="s">
        <v>27</v>
      </c>
      <c r="B15" s="4" t="s">
        <v>28</v>
      </c>
      <c r="C15" s="4" t="s">
        <v>29</v>
      </c>
    </row>
    <row r="16" spans="1:8" x14ac:dyDescent="0.25">
      <c r="A16" s="5" t="s">
        <v>30</v>
      </c>
      <c r="B16" s="6" t="s">
        <v>31</v>
      </c>
      <c r="C16" s="6" t="s">
        <v>32</v>
      </c>
    </row>
    <row r="17" spans="1:3" x14ac:dyDescent="0.25">
      <c r="A17" s="3" t="s">
        <v>33</v>
      </c>
      <c r="B17" s="4" t="s">
        <v>34</v>
      </c>
      <c r="C17" s="4" t="s">
        <v>35</v>
      </c>
    </row>
    <row r="18" spans="1:3" x14ac:dyDescent="0.25">
      <c r="A18" s="5" t="s">
        <v>36</v>
      </c>
      <c r="B18" s="6" t="s">
        <v>37</v>
      </c>
      <c r="C18" s="6" t="s">
        <v>38</v>
      </c>
    </row>
    <row r="19" spans="1:3" x14ac:dyDescent="0.25">
      <c r="A19" s="3" t="s">
        <v>39</v>
      </c>
      <c r="B19" s="4" t="s">
        <v>40</v>
      </c>
      <c r="C19" s="4" t="s">
        <v>41</v>
      </c>
    </row>
  </sheetData>
  <mergeCells count="18">
    <mergeCell ref="A1:H1"/>
    <mergeCell ref="G8:H8"/>
    <mergeCell ref="A8:B8"/>
    <mergeCell ref="E8:F8"/>
    <mergeCell ref="C8:D8"/>
    <mergeCell ref="C4:D4"/>
    <mergeCell ref="A2:H2"/>
    <mergeCell ref="C5:D5"/>
    <mergeCell ref="A5:B5"/>
    <mergeCell ref="G5:H5"/>
    <mergeCell ref="E5:F5"/>
    <mergeCell ref="A4:B4"/>
    <mergeCell ref="G4:H4"/>
    <mergeCell ref="E4:F4"/>
    <mergeCell ref="C7:D7"/>
    <mergeCell ref="A7:B7"/>
    <mergeCell ref="G7:H7"/>
    <mergeCell ref="E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showGridLines="0" workbookViewId="0">
      <selection activeCell="Y13" sqref="Y13"/>
    </sheetView>
  </sheetViews>
  <sheetFormatPr defaultRowHeight="15" x14ac:dyDescent="0.25"/>
  <cols>
    <col min="1" max="3" width="14" customWidth="1"/>
    <col min="4" max="4" width="18" customWidth="1"/>
    <col min="5" max="5" width="20" customWidth="1"/>
    <col min="8" max="8" width="15.28515625" customWidth="1"/>
  </cols>
  <sheetData>
    <row r="1" spans="1:8" ht="27.95" customHeight="1" x14ac:dyDescent="0.25">
      <c r="A1" s="27" t="s">
        <v>42</v>
      </c>
      <c r="B1" s="24"/>
      <c r="C1" s="24"/>
      <c r="D1" s="24"/>
      <c r="E1" s="24"/>
      <c r="F1" s="24"/>
      <c r="G1" s="24"/>
      <c r="H1" s="24"/>
    </row>
    <row r="2" spans="1:8" ht="18" customHeight="1" x14ac:dyDescent="0.25">
      <c r="A2" s="25" t="s">
        <v>43</v>
      </c>
      <c r="B2" s="24"/>
      <c r="C2" s="24"/>
      <c r="D2" s="24"/>
      <c r="E2" s="24"/>
      <c r="F2" s="24"/>
      <c r="G2" s="24"/>
      <c r="H2" s="24"/>
    </row>
    <row r="4" spans="1:8" ht="15.95" customHeight="1" x14ac:dyDescent="0.25">
      <c r="A4" s="23" t="s">
        <v>44</v>
      </c>
      <c r="B4" s="24"/>
      <c r="C4" s="23" t="s">
        <v>45</v>
      </c>
      <c r="D4" s="24"/>
      <c r="E4" s="23" t="s">
        <v>10</v>
      </c>
      <c r="F4" s="24"/>
      <c r="G4" s="23" t="s">
        <v>46</v>
      </c>
      <c r="H4" s="24"/>
    </row>
    <row r="5" spans="1:8" ht="24" customHeight="1" x14ac:dyDescent="0.25">
      <c r="A5" s="26" t="s">
        <v>47</v>
      </c>
      <c r="B5" s="24"/>
      <c r="C5" s="26" t="s">
        <v>8</v>
      </c>
      <c r="D5" s="24"/>
      <c r="E5" s="26" t="s">
        <v>14</v>
      </c>
      <c r="F5" s="24"/>
      <c r="G5" s="26" t="s">
        <v>48</v>
      </c>
      <c r="H5" s="24"/>
    </row>
    <row r="8" spans="1:8" x14ac:dyDescent="0.25">
      <c r="A8" s="7" t="s">
        <v>49</v>
      </c>
    </row>
    <row r="9" spans="1:8" x14ac:dyDescent="0.25">
      <c r="A9" s="2" t="s">
        <v>50</v>
      </c>
      <c r="B9" s="2" t="s">
        <v>51</v>
      </c>
      <c r="C9" s="2" t="s">
        <v>52</v>
      </c>
      <c r="D9" s="2" t="s">
        <v>53</v>
      </c>
      <c r="E9" s="2" t="s">
        <v>54</v>
      </c>
    </row>
    <row r="10" spans="1:8" x14ac:dyDescent="0.25">
      <c r="A10" s="3" t="s">
        <v>55</v>
      </c>
      <c r="B10" s="8">
        <v>23052672</v>
      </c>
      <c r="C10" s="8">
        <v>3462460</v>
      </c>
      <c r="D10" s="8">
        <v>1898778</v>
      </c>
      <c r="E10" s="9">
        <v>8.2400000000000001E-2</v>
      </c>
    </row>
    <row r="11" spans="1:8" x14ac:dyDescent="0.25">
      <c r="A11" s="5" t="s">
        <v>56</v>
      </c>
      <c r="B11" s="10">
        <v>19472466</v>
      </c>
      <c r="C11" s="10">
        <v>2061398</v>
      </c>
      <c r="D11" s="10">
        <v>1130860</v>
      </c>
      <c r="E11" s="11">
        <v>5.8099999999999999E-2</v>
      </c>
    </row>
    <row r="12" spans="1:8" x14ac:dyDescent="0.25">
      <c r="A12" s="3" t="s">
        <v>57</v>
      </c>
      <c r="B12" s="8">
        <v>15715297</v>
      </c>
      <c r="C12" s="8">
        <v>1615685</v>
      </c>
      <c r="D12" s="8">
        <v>786186</v>
      </c>
      <c r="E12" s="9">
        <v>0.05</v>
      </c>
    </row>
    <row r="13" spans="1:8" x14ac:dyDescent="0.25">
      <c r="A13" s="5" t="s">
        <v>58</v>
      </c>
      <c r="B13" s="10">
        <v>5712881</v>
      </c>
      <c r="C13" s="10">
        <v>593960</v>
      </c>
      <c r="D13" s="10">
        <v>265666</v>
      </c>
      <c r="E13" s="11">
        <v>4.65E-2</v>
      </c>
    </row>
    <row r="14" spans="1:8" x14ac:dyDescent="0.25">
      <c r="A14" s="3" t="s">
        <v>59</v>
      </c>
      <c r="B14" s="8">
        <v>16804172</v>
      </c>
      <c r="C14" s="8">
        <v>1395989</v>
      </c>
      <c r="D14" s="8">
        <v>676904</v>
      </c>
      <c r="E14" s="9">
        <v>4.0300000000000002E-2</v>
      </c>
    </row>
    <row r="15" spans="1:8" x14ac:dyDescent="0.25">
      <c r="A15" s="5" t="s">
        <v>60</v>
      </c>
      <c r="B15" s="10">
        <v>1457937</v>
      </c>
      <c r="C15" s="10">
        <v>93210</v>
      </c>
      <c r="D15" s="10">
        <v>48078</v>
      </c>
      <c r="E15" s="11">
        <v>3.3000000000000002E-2</v>
      </c>
    </row>
    <row r="16" spans="1:8" x14ac:dyDescent="0.25">
      <c r="A16" s="3" t="s">
        <v>61</v>
      </c>
      <c r="B16" s="8">
        <v>5466667</v>
      </c>
      <c r="C16" s="8">
        <v>403192</v>
      </c>
      <c r="D16" s="8">
        <v>172881</v>
      </c>
      <c r="E16" s="9">
        <v>3.1600000000000003E-2</v>
      </c>
    </row>
    <row r="17" spans="1:5" x14ac:dyDescent="0.25">
      <c r="A17" s="5" t="s">
        <v>62</v>
      </c>
      <c r="B17" s="10">
        <v>5700141</v>
      </c>
      <c r="C17" s="10">
        <v>362813</v>
      </c>
      <c r="D17" s="10">
        <v>173853</v>
      </c>
      <c r="E17" s="11">
        <v>3.0499999999999999E-2</v>
      </c>
    </row>
    <row r="18" spans="1:5" x14ac:dyDescent="0.25">
      <c r="A18" s="3" t="s">
        <v>63</v>
      </c>
      <c r="B18" s="8">
        <v>12854885</v>
      </c>
      <c r="C18" s="8">
        <v>929354</v>
      </c>
      <c r="D18" s="8">
        <v>388777</v>
      </c>
      <c r="E18" s="9">
        <v>3.0200000000000001E-2</v>
      </c>
    </row>
    <row r="19" spans="1:5" x14ac:dyDescent="0.25">
      <c r="A19" s="5" t="s">
        <v>64</v>
      </c>
      <c r="B19" s="10">
        <v>345259</v>
      </c>
      <c r="C19" s="10">
        <v>26255</v>
      </c>
      <c r="D19" s="10">
        <v>9532</v>
      </c>
      <c r="E19" s="11">
        <v>2.76E-2</v>
      </c>
    </row>
    <row r="22" spans="1:5" x14ac:dyDescent="0.25">
      <c r="A22" s="7" t="s">
        <v>65</v>
      </c>
    </row>
    <row r="23" spans="1:5" x14ac:dyDescent="0.25">
      <c r="A23" s="2" t="s">
        <v>66</v>
      </c>
      <c r="B23" s="2" t="s">
        <v>51</v>
      </c>
      <c r="C23" s="2" t="s">
        <v>53</v>
      </c>
      <c r="D23" s="2" t="s">
        <v>67</v>
      </c>
      <c r="E23" s="2" t="s">
        <v>68</v>
      </c>
    </row>
    <row r="24" spans="1:5" x14ac:dyDescent="0.25">
      <c r="A24" s="3" t="s">
        <v>69</v>
      </c>
      <c r="B24" s="8">
        <v>16383360</v>
      </c>
      <c r="C24" s="8">
        <v>1279265</v>
      </c>
      <c r="D24" s="9">
        <v>7.8100000000000003E-2</v>
      </c>
      <c r="E24" s="9">
        <v>0.57420000000000004</v>
      </c>
    </row>
    <row r="25" spans="1:5" x14ac:dyDescent="0.25">
      <c r="A25" s="5" t="s">
        <v>70</v>
      </c>
      <c r="B25" s="10">
        <v>12545341</v>
      </c>
      <c r="C25" s="10">
        <v>997688</v>
      </c>
      <c r="D25" s="11">
        <v>7.9500000000000001E-2</v>
      </c>
      <c r="E25" s="11">
        <v>0.56999999999999995</v>
      </c>
    </row>
    <row r="26" spans="1:5" x14ac:dyDescent="0.25">
      <c r="A26" s="3" t="s">
        <v>71</v>
      </c>
      <c r="B26" s="8">
        <v>8975402</v>
      </c>
      <c r="C26" s="8">
        <v>457372</v>
      </c>
      <c r="D26" s="9">
        <v>5.0999999999999997E-2</v>
      </c>
      <c r="E26" s="9">
        <v>0.47520000000000001</v>
      </c>
    </row>
    <row r="27" spans="1:5" x14ac:dyDescent="0.25">
      <c r="A27" s="5" t="s">
        <v>72</v>
      </c>
      <c r="B27" s="10">
        <v>3534417</v>
      </c>
      <c r="C27" s="10">
        <v>190515</v>
      </c>
      <c r="D27" s="11">
        <v>5.3900000000000003E-2</v>
      </c>
      <c r="E27" s="11">
        <v>0.55959999999999999</v>
      </c>
    </row>
    <row r="28" spans="1:5" x14ac:dyDescent="0.25">
      <c r="A28" s="3" t="s">
        <v>73</v>
      </c>
      <c r="B28" s="8">
        <v>1670660</v>
      </c>
      <c r="C28" s="8">
        <v>99562</v>
      </c>
      <c r="D28" s="9">
        <v>5.96E-2</v>
      </c>
      <c r="E28" s="9">
        <v>0.58099999999999996</v>
      </c>
    </row>
    <row r="29" spans="1:5" x14ac:dyDescent="0.25">
      <c r="A29" s="5" t="s">
        <v>74</v>
      </c>
      <c r="B29" s="10">
        <v>2017765</v>
      </c>
      <c r="C29" s="10">
        <v>91893</v>
      </c>
      <c r="D29" s="11">
        <v>4.5499999999999999E-2</v>
      </c>
      <c r="E29" s="11">
        <v>0.63959999999999995</v>
      </c>
    </row>
    <row r="30" spans="1:5" x14ac:dyDescent="0.25">
      <c r="A30" s="3" t="s">
        <v>75</v>
      </c>
      <c r="B30" s="8">
        <v>1910874</v>
      </c>
      <c r="C30" s="8">
        <v>77650</v>
      </c>
      <c r="D30" s="9">
        <v>4.0599999999999997E-2</v>
      </c>
      <c r="E30" s="9">
        <v>0.48859999999999998</v>
      </c>
    </row>
    <row r="31" spans="1:5" x14ac:dyDescent="0.25">
      <c r="A31" s="5" t="s">
        <v>76</v>
      </c>
      <c r="B31" s="10">
        <v>1915499</v>
      </c>
      <c r="C31" s="10">
        <v>65243</v>
      </c>
      <c r="D31" s="11">
        <v>3.4099999999999998E-2</v>
      </c>
      <c r="E31" s="11">
        <v>0.46739999999999998</v>
      </c>
    </row>
  </sheetData>
  <mergeCells count="10">
    <mergeCell ref="A1:H1"/>
    <mergeCell ref="C4:D4"/>
    <mergeCell ref="A4:B4"/>
    <mergeCell ref="G4:H4"/>
    <mergeCell ref="E4:F4"/>
    <mergeCell ref="A2:H2"/>
    <mergeCell ref="C5:D5"/>
    <mergeCell ref="A5:B5"/>
    <mergeCell ref="G5:H5"/>
    <mergeCell ref="E5:F5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workbookViewId="0">
      <selection activeCell="V17" sqref="V17"/>
    </sheetView>
  </sheetViews>
  <sheetFormatPr defaultRowHeight="15" x14ac:dyDescent="0.25"/>
  <cols>
    <col min="1" max="1" width="16" customWidth="1"/>
    <col min="2" max="2" width="14" customWidth="1"/>
    <col min="3" max="3" width="16.28515625" bestFit="1" customWidth="1"/>
    <col min="4" max="4" width="17" customWidth="1"/>
    <col min="5" max="5" width="14" customWidth="1"/>
    <col min="6" max="6" width="25" customWidth="1"/>
    <col min="8" max="8" width="16.7109375" customWidth="1"/>
  </cols>
  <sheetData>
    <row r="1" spans="1:8" ht="27.95" customHeight="1" x14ac:dyDescent="0.25">
      <c r="A1" s="27" t="s">
        <v>77</v>
      </c>
      <c r="B1" s="24"/>
      <c r="C1" s="24"/>
      <c r="D1" s="24"/>
      <c r="E1" s="24"/>
      <c r="F1" s="24"/>
      <c r="G1" s="24"/>
      <c r="H1" s="24"/>
    </row>
    <row r="2" spans="1:8" ht="18" customHeight="1" x14ac:dyDescent="0.25">
      <c r="A2" s="25" t="s">
        <v>78</v>
      </c>
      <c r="B2" s="24"/>
      <c r="C2" s="24"/>
      <c r="D2" s="24"/>
      <c r="E2" s="24"/>
      <c r="F2" s="24"/>
      <c r="G2" s="24"/>
      <c r="H2" s="24"/>
    </row>
    <row r="4" spans="1:8" ht="15.95" customHeight="1" x14ac:dyDescent="0.25">
      <c r="A4" s="23" t="s">
        <v>79</v>
      </c>
      <c r="B4" s="24"/>
      <c r="C4" s="23" t="s">
        <v>80</v>
      </c>
      <c r="D4" s="24"/>
      <c r="E4" s="23" t="s">
        <v>81</v>
      </c>
      <c r="F4" s="24"/>
      <c r="G4" s="23" t="s">
        <v>82</v>
      </c>
      <c r="H4" s="24"/>
    </row>
    <row r="5" spans="1:8" ht="24" customHeight="1" x14ac:dyDescent="0.25">
      <c r="A5" s="26" t="s">
        <v>83</v>
      </c>
      <c r="B5" s="24"/>
      <c r="C5" s="26" t="s">
        <v>84</v>
      </c>
      <c r="D5" s="24"/>
      <c r="E5" s="26" t="s">
        <v>85</v>
      </c>
      <c r="F5" s="24"/>
      <c r="G5" s="26" t="s">
        <v>86</v>
      </c>
      <c r="H5" s="24"/>
    </row>
    <row r="8" spans="1:8" x14ac:dyDescent="0.25">
      <c r="A8" s="7" t="s">
        <v>87</v>
      </c>
    </row>
    <row r="9" spans="1:8" x14ac:dyDescent="0.25">
      <c r="A9" s="2" t="s">
        <v>88</v>
      </c>
      <c r="B9" s="2" t="s">
        <v>79</v>
      </c>
      <c r="C9" s="2" t="s">
        <v>89</v>
      </c>
      <c r="D9" s="2" t="s">
        <v>54</v>
      </c>
    </row>
    <row r="10" spans="1:8" x14ac:dyDescent="0.25">
      <c r="A10" s="3" t="s">
        <v>90</v>
      </c>
      <c r="B10" s="8">
        <v>36377146</v>
      </c>
      <c r="C10" s="8">
        <v>53442</v>
      </c>
      <c r="D10" s="9">
        <v>1.5E-3</v>
      </c>
    </row>
    <row r="11" spans="1:8" x14ac:dyDescent="0.25">
      <c r="A11" s="5" t="s">
        <v>91</v>
      </c>
      <c r="B11" s="10">
        <v>32911072</v>
      </c>
      <c r="C11" s="10">
        <v>2518249</v>
      </c>
      <c r="D11" s="11">
        <v>7.6499999999999999E-2</v>
      </c>
    </row>
    <row r="12" spans="1:8" x14ac:dyDescent="0.25">
      <c r="A12" s="3" t="s">
        <v>92</v>
      </c>
      <c r="B12" s="8">
        <v>11260308</v>
      </c>
      <c r="C12" s="8">
        <v>1596659</v>
      </c>
      <c r="D12" s="9">
        <v>0.14180000000000001</v>
      </c>
    </row>
    <row r="13" spans="1:8" x14ac:dyDescent="0.25">
      <c r="A13" s="5" t="s">
        <v>93</v>
      </c>
      <c r="B13" s="10">
        <v>6259229</v>
      </c>
      <c r="C13" s="10">
        <v>872343</v>
      </c>
      <c r="D13" s="11">
        <v>0.1394</v>
      </c>
    </row>
    <row r="14" spans="1:8" x14ac:dyDescent="0.25">
      <c r="A14" s="3" t="s">
        <v>94</v>
      </c>
      <c r="B14" s="8">
        <v>2559907</v>
      </c>
      <c r="C14" s="8">
        <v>359341</v>
      </c>
      <c r="D14" s="9">
        <v>0.1404</v>
      </c>
    </row>
    <row r="15" spans="1:8" x14ac:dyDescent="0.25">
      <c r="A15" s="5" t="s">
        <v>95</v>
      </c>
      <c r="B15" s="10">
        <v>325933</v>
      </c>
      <c r="C15" s="10">
        <v>49900</v>
      </c>
      <c r="D15" s="11">
        <v>0.15310000000000001</v>
      </c>
    </row>
    <row r="18" spans="1:6" x14ac:dyDescent="0.25">
      <c r="A18" s="7" t="s">
        <v>96</v>
      </c>
    </row>
    <row r="19" spans="1:6" x14ac:dyDescent="0.25">
      <c r="A19" s="2" t="s">
        <v>97</v>
      </c>
      <c r="B19" s="2" t="s">
        <v>98</v>
      </c>
      <c r="C19" s="2" t="s">
        <v>99</v>
      </c>
      <c r="D19" s="2" t="s">
        <v>100</v>
      </c>
      <c r="E19" s="2" t="s">
        <v>101</v>
      </c>
      <c r="F19" s="2" t="s">
        <v>102</v>
      </c>
    </row>
    <row r="20" spans="1:6" x14ac:dyDescent="0.25">
      <c r="A20" s="3" t="s">
        <v>103</v>
      </c>
      <c r="B20" s="8">
        <v>5449934</v>
      </c>
      <c r="C20" s="12">
        <v>8.9</v>
      </c>
      <c r="D20" s="4">
        <v>6</v>
      </c>
      <c r="E20" s="12">
        <v>1.74</v>
      </c>
      <c r="F20" s="12">
        <v>4.38</v>
      </c>
    </row>
    <row r="21" spans="1:6" x14ac:dyDescent="0.25">
      <c r="A21" s="5" t="s">
        <v>104</v>
      </c>
      <c r="B21" s="10">
        <v>84243661</v>
      </c>
      <c r="C21" s="13">
        <v>4.3099999999999996</v>
      </c>
      <c r="D21" s="6">
        <v>2</v>
      </c>
      <c r="E21" s="13">
        <v>0.11</v>
      </c>
      <c r="F21" s="13">
        <v>0.5</v>
      </c>
    </row>
  </sheetData>
  <mergeCells count="10">
    <mergeCell ref="A1:H1"/>
    <mergeCell ref="C4:D4"/>
    <mergeCell ref="A4:B4"/>
    <mergeCell ref="G4:H4"/>
    <mergeCell ref="E4:F4"/>
    <mergeCell ref="A2:H2"/>
    <mergeCell ref="C5:D5"/>
    <mergeCell ref="A5:B5"/>
    <mergeCell ref="G5:H5"/>
    <mergeCell ref="E5:F5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showGridLines="0" workbookViewId="0">
      <selection activeCell="AA20" sqref="AA20"/>
    </sheetView>
  </sheetViews>
  <sheetFormatPr defaultRowHeight="15" x14ac:dyDescent="0.25"/>
  <cols>
    <col min="1" max="3" width="14" customWidth="1"/>
    <col min="4" max="4" width="15.7109375" bestFit="1" customWidth="1"/>
    <col min="5" max="6" width="14" customWidth="1"/>
  </cols>
  <sheetData>
    <row r="1" spans="1:8" ht="27.95" customHeight="1" x14ac:dyDescent="0.25">
      <c r="A1" s="27" t="s">
        <v>105</v>
      </c>
      <c r="B1" s="24"/>
      <c r="C1" s="24"/>
      <c r="D1" s="24"/>
      <c r="E1" s="24"/>
      <c r="F1" s="24"/>
      <c r="G1" s="24"/>
      <c r="H1" s="24"/>
    </row>
    <row r="2" spans="1:8" ht="18" customHeight="1" x14ac:dyDescent="0.25">
      <c r="A2" s="25" t="s">
        <v>106</v>
      </c>
      <c r="B2" s="24"/>
      <c r="C2" s="24"/>
      <c r="D2" s="24"/>
      <c r="E2" s="24"/>
      <c r="F2" s="24"/>
      <c r="G2" s="24"/>
      <c r="H2" s="24"/>
    </row>
    <row r="4" spans="1:8" ht="15.95" customHeight="1" x14ac:dyDescent="0.25">
      <c r="A4" s="23" t="s">
        <v>3</v>
      </c>
      <c r="B4" s="24"/>
      <c r="C4" s="23" t="s">
        <v>107</v>
      </c>
      <c r="D4" s="24"/>
      <c r="E4" s="23" t="s">
        <v>108</v>
      </c>
      <c r="F4" s="24"/>
      <c r="G4" s="23" t="s">
        <v>109</v>
      </c>
      <c r="H4" s="24"/>
    </row>
    <row r="5" spans="1:8" ht="24" customHeight="1" x14ac:dyDescent="0.25">
      <c r="A5" s="26" t="s">
        <v>7</v>
      </c>
      <c r="B5" s="24"/>
      <c r="C5" s="26" t="s">
        <v>110</v>
      </c>
      <c r="D5" s="24"/>
      <c r="E5" s="26" t="s">
        <v>15</v>
      </c>
      <c r="F5" s="24"/>
      <c r="G5" s="26" t="s">
        <v>111</v>
      </c>
      <c r="H5" s="24"/>
    </row>
    <row r="8" spans="1:8" x14ac:dyDescent="0.25">
      <c r="A8" s="7" t="s">
        <v>112</v>
      </c>
    </row>
    <row r="9" spans="1:8" x14ac:dyDescent="0.25">
      <c r="A9" s="2" t="s">
        <v>113</v>
      </c>
      <c r="B9" s="2" t="s">
        <v>114</v>
      </c>
      <c r="C9" s="2" t="s">
        <v>115</v>
      </c>
      <c r="D9" s="2" t="s">
        <v>116</v>
      </c>
      <c r="E9" s="2" t="s">
        <v>117</v>
      </c>
      <c r="F9" s="2" t="s">
        <v>118</v>
      </c>
    </row>
    <row r="10" spans="1:8" x14ac:dyDescent="0.25">
      <c r="A10" s="3" t="s">
        <v>119</v>
      </c>
      <c r="B10" s="9">
        <v>0.1323</v>
      </c>
      <c r="C10" s="9">
        <v>0.41399999999999998</v>
      </c>
      <c r="D10" s="14">
        <v>27.8</v>
      </c>
      <c r="E10" s="12">
        <v>9.24</v>
      </c>
      <c r="F10" s="15">
        <v>3117.85</v>
      </c>
    </row>
    <row r="11" spans="1:8" x14ac:dyDescent="0.25">
      <c r="A11" s="5" t="s">
        <v>120</v>
      </c>
      <c r="B11" s="11">
        <v>0.26450000000000001</v>
      </c>
      <c r="C11" s="11">
        <v>0.25659999999999999</v>
      </c>
      <c r="D11" s="16">
        <v>54.7</v>
      </c>
      <c r="E11" s="13">
        <v>3.69</v>
      </c>
      <c r="F11" s="17">
        <v>966.62</v>
      </c>
    </row>
    <row r="12" spans="1:8" x14ac:dyDescent="0.25">
      <c r="A12" s="3" t="s">
        <v>121</v>
      </c>
      <c r="B12" s="9">
        <v>0.2031</v>
      </c>
      <c r="C12" s="9">
        <v>0.2218</v>
      </c>
      <c r="D12" s="14">
        <v>152.6</v>
      </c>
      <c r="E12" s="12">
        <v>3.53</v>
      </c>
      <c r="F12" s="15">
        <v>1087.71</v>
      </c>
    </row>
    <row r="13" spans="1:8" x14ac:dyDescent="0.25">
      <c r="A13" s="5" t="s">
        <v>122</v>
      </c>
      <c r="B13" s="11">
        <v>0.2064</v>
      </c>
      <c r="C13" s="11">
        <v>5.7200000000000001E-2</v>
      </c>
      <c r="D13" s="16">
        <v>130.19999999999999</v>
      </c>
      <c r="E13" s="13">
        <v>1</v>
      </c>
      <c r="F13" s="17">
        <v>276</v>
      </c>
    </row>
    <row r="14" spans="1:8" x14ac:dyDescent="0.25">
      <c r="A14" s="3" t="s">
        <v>123</v>
      </c>
      <c r="B14" s="9">
        <v>0.14000000000000001</v>
      </c>
      <c r="C14" s="9">
        <v>3.56E-2</v>
      </c>
      <c r="D14" s="14">
        <v>27.3</v>
      </c>
      <c r="E14" s="12">
        <v>1</v>
      </c>
      <c r="F14" s="15">
        <v>253.6</v>
      </c>
    </row>
    <row r="15" spans="1:8" x14ac:dyDescent="0.25">
      <c r="A15" s="5" t="s">
        <v>124</v>
      </c>
      <c r="B15" s="11">
        <v>5.3600000000000002E-2</v>
      </c>
      <c r="C15" s="11">
        <v>1.4800000000000001E-2</v>
      </c>
      <c r="D15" s="16">
        <v>182.4</v>
      </c>
      <c r="E15" s="13">
        <v>1</v>
      </c>
      <c r="F15" s="17">
        <v>274.58999999999997</v>
      </c>
    </row>
    <row r="18" spans="1:6" x14ac:dyDescent="0.25">
      <c r="A18" s="7" t="s">
        <v>125</v>
      </c>
    </row>
    <row r="19" spans="1:6" x14ac:dyDescent="0.25">
      <c r="A19" s="2" t="s">
        <v>113</v>
      </c>
      <c r="B19" s="2" t="s">
        <v>126</v>
      </c>
      <c r="C19" s="2" t="s">
        <v>127</v>
      </c>
      <c r="D19" s="2" t="s">
        <v>128</v>
      </c>
      <c r="E19" s="2" t="s">
        <v>129</v>
      </c>
      <c r="F19" s="2" t="s">
        <v>130</v>
      </c>
    </row>
    <row r="20" spans="1:6" x14ac:dyDescent="0.25">
      <c r="A20" s="3" t="s">
        <v>119</v>
      </c>
      <c r="B20" s="15">
        <v>792.74</v>
      </c>
      <c r="C20" s="15">
        <v>1384.98</v>
      </c>
      <c r="D20" s="15">
        <v>2869.93</v>
      </c>
      <c r="E20" s="15">
        <v>6210.49</v>
      </c>
      <c r="F20" s="15">
        <v>790120.94</v>
      </c>
    </row>
    <row r="21" spans="1:6" x14ac:dyDescent="0.25">
      <c r="A21" s="5" t="s">
        <v>121</v>
      </c>
      <c r="B21" s="17">
        <v>211.68</v>
      </c>
      <c r="C21" s="17">
        <v>465.34</v>
      </c>
      <c r="D21" s="17">
        <v>1081.29</v>
      </c>
      <c r="E21" s="17">
        <v>2366.6</v>
      </c>
      <c r="F21" s="17">
        <v>473119.39</v>
      </c>
    </row>
    <row r="22" spans="1:6" x14ac:dyDescent="0.25">
      <c r="A22" s="3" t="s">
        <v>120</v>
      </c>
      <c r="B22" s="15">
        <v>180.07</v>
      </c>
      <c r="C22" s="15">
        <v>361.06</v>
      </c>
      <c r="D22" s="15">
        <v>830.6</v>
      </c>
      <c r="E22" s="15">
        <v>2002.1</v>
      </c>
      <c r="F22" s="15">
        <v>474648.46</v>
      </c>
    </row>
    <row r="23" spans="1:6" x14ac:dyDescent="0.25">
      <c r="A23" s="5" t="s">
        <v>122</v>
      </c>
      <c r="B23" s="17">
        <v>82.33</v>
      </c>
      <c r="C23" s="17">
        <v>170.15</v>
      </c>
      <c r="D23" s="17">
        <v>311.08</v>
      </c>
      <c r="E23" s="17">
        <v>733.3</v>
      </c>
      <c r="F23" s="17">
        <v>2574.0700000000002</v>
      </c>
    </row>
    <row r="24" spans="1:6" x14ac:dyDescent="0.25">
      <c r="A24" s="3" t="s">
        <v>124</v>
      </c>
      <c r="B24" s="15">
        <v>77.22</v>
      </c>
      <c r="C24" s="15">
        <v>169.35</v>
      </c>
      <c r="D24" s="15">
        <v>308.86</v>
      </c>
      <c r="E24" s="15">
        <v>719.68</v>
      </c>
      <c r="F24" s="15">
        <v>2574.0700000000002</v>
      </c>
    </row>
    <row r="25" spans="1:6" x14ac:dyDescent="0.25">
      <c r="A25" s="5" t="s">
        <v>123</v>
      </c>
      <c r="B25" s="17">
        <v>64.33</v>
      </c>
      <c r="C25" s="17">
        <v>166.77</v>
      </c>
      <c r="D25" s="17">
        <v>302.08</v>
      </c>
      <c r="E25" s="17">
        <v>591.78</v>
      </c>
      <c r="F25" s="17">
        <v>2574.0700000000002</v>
      </c>
    </row>
  </sheetData>
  <mergeCells count="10">
    <mergeCell ref="A1:H1"/>
    <mergeCell ref="C4:D4"/>
    <mergeCell ref="A4:B4"/>
    <mergeCell ref="G4:H4"/>
    <mergeCell ref="E4:F4"/>
    <mergeCell ref="A2:H2"/>
    <mergeCell ref="C5:D5"/>
    <mergeCell ref="A5:B5"/>
    <mergeCell ref="G5:H5"/>
    <mergeCell ref="E5:F5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7"/>
  <sheetViews>
    <sheetView showGridLines="0" workbookViewId="0">
      <selection activeCell="O34" sqref="O34"/>
    </sheetView>
  </sheetViews>
  <sheetFormatPr defaultRowHeight="15" x14ac:dyDescent="0.25"/>
  <cols>
    <col min="1" max="1" width="31" customWidth="1"/>
    <col min="2" max="2" width="17" customWidth="1"/>
    <col min="3" max="9" width="14" customWidth="1"/>
  </cols>
  <sheetData>
    <row r="1" spans="1:9" ht="27.95" customHeight="1" x14ac:dyDescent="0.25">
      <c r="A1" s="27" t="s">
        <v>131</v>
      </c>
      <c r="B1" s="24"/>
      <c r="C1" s="24"/>
      <c r="D1" s="24"/>
      <c r="E1" s="24"/>
      <c r="F1" s="24"/>
      <c r="G1" s="24"/>
      <c r="H1" s="24"/>
    </row>
    <row r="2" spans="1:9" ht="18" customHeight="1" x14ac:dyDescent="0.25">
      <c r="A2" s="25" t="s">
        <v>132</v>
      </c>
      <c r="B2" s="24"/>
      <c r="C2" s="24"/>
      <c r="D2" s="24"/>
      <c r="E2" s="24"/>
      <c r="F2" s="24"/>
      <c r="G2" s="24"/>
      <c r="H2" s="24"/>
    </row>
    <row r="4" spans="1:9" ht="15.95" customHeight="1" x14ac:dyDescent="0.25">
      <c r="A4" s="23" t="s">
        <v>133</v>
      </c>
      <c r="B4" s="24"/>
      <c r="C4" s="23" t="s">
        <v>134</v>
      </c>
      <c r="D4" s="24"/>
      <c r="E4" s="23" t="s">
        <v>135</v>
      </c>
      <c r="F4" s="24"/>
      <c r="G4" s="23" t="s">
        <v>136</v>
      </c>
      <c r="H4" s="24"/>
    </row>
    <row r="5" spans="1:9" ht="24" customHeight="1" x14ac:dyDescent="0.25">
      <c r="A5" s="26" t="s">
        <v>137</v>
      </c>
      <c r="B5" s="24"/>
      <c r="C5" s="26" t="s">
        <v>16</v>
      </c>
      <c r="D5" s="24"/>
      <c r="E5" s="26" t="s">
        <v>138</v>
      </c>
      <c r="F5" s="24"/>
      <c r="G5" s="26" t="s">
        <v>139</v>
      </c>
      <c r="H5" s="24"/>
    </row>
    <row r="8" spans="1:9" x14ac:dyDescent="0.25">
      <c r="A8" s="7" t="s">
        <v>140</v>
      </c>
    </row>
    <row r="9" spans="1:9" x14ac:dyDescent="0.25">
      <c r="A9" s="2" t="s">
        <v>141</v>
      </c>
      <c r="B9" s="2" t="s">
        <v>142</v>
      </c>
      <c r="C9" s="2" t="s">
        <v>143</v>
      </c>
      <c r="D9" s="2" t="s">
        <v>144</v>
      </c>
      <c r="E9" s="2" t="s">
        <v>145</v>
      </c>
      <c r="F9" s="2" t="s">
        <v>146</v>
      </c>
      <c r="G9" s="2" t="s">
        <v>147</v>
      </c>
      <c r="H9" s="2" t="s">
        <v>148</v>
      </c>
      <c r="I9" s="2" t="s">
        <v>149</v>
      </c>
    </row>
    <row r="10" spans="1:9" x14ac:dyDescent="0.25">
      <c r="A10" s="3" t="s">
        <v>150</v>
      </c>
      <c r="B10" s="8">
        <v>347118</v>
      </c>
      <c r="C10" s="18">
        <v>1</v>
      </c>
      <c r="D10" s="18">
        <v>0.26300000000000001</v>
      </c>
      <c r="E10" s="18">
        <v>0.219</v>
      </c>
      <c r="F10" s="18">
        <v>0.13700000000000001</v>
      </c>
      <c r="G10" s="18">
        <v>0.127</v>
      </c>
      <c r="H10" s="18">
        <v>0.122</v>
      </c>
      <c r="I10" s="18">
        <v>8.1000000000000003E-2</v>
      </c>
    </row>
    <row r="11" spans="1:9" x14ac:dyDescent="0.25">
      <c r="A11" s="5" t="s">
        <v>151</v>
      </c>
      <c r="B11" s="10">
        <v>350352</v>
      </c>
      <c r="C11" s="19">
        <v>1</v>
      </c>
      <c r="D11" s="19">
        <v>0.221</v>
      </c>
      <c r="E11" s="19">
        <v>0.122</v>
      </c>
      <c r="F11" s="19">
        <v>0.115</v>
      </c>
      <c r="G11" s="19">
        <v>0.111</v>
      </c>
      <c r="H11" s="19">
        <v>7.6999999999999999E-2</v>
      </c>
      <c r="I11" s="19"/>
    </row>
    <row r="12" spans="1:9" x14ac:dyDescent="0.25">
      <c r="A12" s="3" t="s">
        <v>152</v>
      </c>
      <c r="B12" s="8">
        <v>347286</v>
      </c>
      <c r="C12" s="18">
        <v>1</v>
      </c>
      <c r="D12" s="18">
        <v>0.152</v>
      </c>
      <c r="E12" s="18">
        <v>0.125</v>
      </c>
      <c r="F12" s="18">
        <v>0.12</v>
      </c>
      <c r="G12" s="18">
        <v>8.1000000000000003E-2</v>
      </c>
      <c r="H12" s="18"/>
      <c r="I12" s="18"/>
    </row>
    <row r="13" spans="1:9" x14ac:dyDescent="0.25">
      <c r="A13" s="5" t="s">
        <v>153</v>
      </c>
      <c r="B13" s="10">
        <v>215886</v>
      </c>
      <c r="C13" s="19">
        <v>1</v>
      </c>
      <c r="D13" s="19">
        <v>0.184</v>
      </c>
      <c r="E13" s="19">
        <v>0.13600000000000001</v>
      </c>
      <c r="F13" s="19">
        <v>8.7999999999999995E-2</v>
      </c>
      <c r="G13" s="19"/>
      <c r="H13" s="19"/>
      <c r="I13" s="19"/>
    </row>
    <row r="14" spans="1:9" x14ac:dyDescent="0.25">
      <c r="A14" s="3" t="s">
        <v>154</v>
      </c>
      <c r="B14" s="8">
        <v>225048</v>
      </c>
      <c r="C14" s="18">
        <v>1</v>
      </c>
      <c r="D14" s="18">
        <v>0.19</v>
      </c>
      <c r="E14" s="18">
        <v>0.104</v>
      </c>
      <c r="F14" s="18"/>
      <c r="G14" s="18"/>
      <c r="H14" s="18"/>
      <c r="I14" s="18"/>
    </row>
    <row r="15" spans="1:9" x14ac:dyDescent="0.25">
      <c r="A15" s="5" t="s">
        <v>155</v>
      </c>
      <c r="B15" s="10">
        <v>258674</v>
      </c>
      <c r="C15" s="19">
        <v>1</v>
      </c>
      <c r="D15" s="19">
        <v>0.151</v>
      </c>
      <c r="E15" s="19"/>
      <c r="F15" s="19"/>
      <c r="G15" s="19"/>
      <c r="H15" s="19"/>
      <c r="I15" s="19"/>
    </row>
    <row r="16" spans="1:9" x14ac:dyDescent="0.25">
      <c r="A16" s="3" t="s">
        <v>156</v>
      </c>
      <c r="B16" s="8">
        <v>320535</v>
      </c>
      <c r="C16" s="18">
        <v>1</v>
      </c>
      <c r="D16" s="18"/>
      <c r="E16" s="18"/>
      <c r="F16" s="18"/>
      <c r="G16" s="18"/>
      <c r="H16" s="18"/>
      <c r="I16" s="18"/>
    </row>
    <row r="19" spans="1:4" x14ac:dyDescent="0.25">
      <c r="A19" s="7" t="s">
        <v>157</v>
      </c>
    </row>
    <row r="20" spans="1:4" x14ac:dyDescent="0.25">
      <c r="A20" s="2" t="s">
        <v>158</v>
      </c>
      <c r="B20" s="2" t="s">
        <v>159</v>
      </c>
      <c r="C20" s="2" t="s">
        <v>160</v>
      </c>
      <c r="D20" s="2" t="s">
        <v>130</v>
      </c>
    </row>
    <row r="21" spans="1:4" x14ac:dyDescent="0.25">
      <c r="A21" s="3" t="s">
        <v>143</v>
      </c>
      <c r="B21" s="18">
        <v>1</v>
      </c>
      <c r="C21" s="18">
        <v>1</v>
      </c>
      <c r="D21" s="18">
        <v>1</v>
      </c>
    </row>
    <row r="22" spans="1:4" x14ac:dyDescent="0.25">
      <c r="A22" s="5" t="s">
        <v>144</v>
      </c>
      <c r="B22" s="19">
        <v>0.19359999999999999</v>
      </c>
      <c r="C22" s="19">
        <v>0.15129999999999999</v>
      </c>
      <c r="D22" s="19">
        <v>0.26300000000000001</v>
      </c>
    </row>
    <row r="23" spans="1:4" x14ac:dyDescent="0.25">
      <c r="A23" s="3" t="s">
        <v>145</v>
      </c>
      <c r="B23" s="18">
        <v>0.14119999999999999</v>
      </c>
      <c r="C23" s="18">
        <v>0.1038</v>
      </c>
      <c r="D23" s="18">
        <v>0.21929999999999999</v>
      </c>
    </row>
    <row r="24" spans="1:4" x14ac:dyDescent="0.25">
      <c r="A24" s="5" t="s">
        <v>146</v>
      </c>
      <c r="B24" s="19">
        <v>0.1149</v>
      </c>
      <c r="C24" s="19">
        <v>8.7900000000000006E-2</v>
      </c>
      <c r="D24" s="19">
        <v>0.13730000000000001</v>
      </c>
    </row>
    <row r="25" spans="1:4" x14ac:dyDescent="0.25">
      <c r="A25" s="3" t="s">
        <v>147</v>
      </c>
      <c r="B25" s="18">
        <v>0.10630000000000001</v>
      </c>
      <c r="C25" s="18">
        <v>8.1199999999999994E-2</v>
      </c>
      <c r="D25" s="18">
        <v>0.127</v>
      </c>
    </row>
    <row r="26" spans="1:4" x14ac:dyDescent="0.25">
      <c r="A26" s="5" t="s">
        <v>148</v>
      </c>
      <c r="B26" s="19">
        <v>9.9400000000000002E-2</v>
      </c>
      <c r="C26" s="19">
        <v>7.6700000000000004E-2</v>
      </c>
      <c r="D26" s="19">
        <v>0.1221</v>
      </c>
    </row>
    <row r="27" spans="1:4" x14ac:dyDescent="0.25">
      <c r="A27" s="3" t="s">
        <v>149</v>
      </c>
      <c r="B27" s="18">
        <v>8.0799999999999997E-2</v>
      </c>
      <c r="C27" s="18">
        <v>8.0799999999999997E-2</v>
      </c>
      <c r="D27" s="18">
        <v>8.0799999999999997E-2</v>
      </c>
    </row>
  </sheetData>
  <mergeCells count="10">
    <mergeCell ref="A1:H1"/>
    <mergeCell ref="C4:D4"/>
    <mergeCell ref="A4:B4"/>
    <mergeCell ref="G4:H4"/>
    <mergeCell ref="E4:F4"/>
    <mergeCell ref="A2:H2"/>
    <mergeCell ref="C5:D5"/>
    <mergeCell ref="A5:B5"/>
    <mergeCell ref="G5:H5"/>
    <mergeCell ref="E5:F5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"/>
  <sheetViews>
    <sheetView showGridLines="0" workbookViewId="0">
      <selection activeCell="O37" sqref="O37"/>
    </sheetView>
  </sheetViews>
  <sheetFormatPr defaultRowHeight="15" x14ac:dyDescent="0.25"/>
  <cols>
    <col min="1" max="2" width="14" customWidth="1"/>
    <col min="3" max="3" width="17" customWidth="1"/>
    <col min="4" max="5" width="14" customWidth="1"/>
    <col min="6" max="6" width="21.5703125" customWidth="1"/>
    <col min="8" max="8" width="21.85546875" customWidth="1"/>
  </cols>
  <sheetData>
    <row r="1" spans="1:8" ht="27.95" customHeight="1" x14ac:dyDescent="0.25">
      <c r="A1" s="27" t="s">
        <v>161</v>
      </c>
      <c r="B1" s="24"/>
      <c r="C1" s="24"/>
      <c r="D1" s="24"/>
      <c r="E1" s="24"/>
      <c r="F1" s="24"/>
      <c r="G1" s="24"/>
      <c r="H1" s="24"/>
    </row>
    <row r="2" spans="1:8" ht="18" customHeight="1" x14ac:dyDescent="0.25">
      <c r="A2" s="25" t="s">
        <v>162</v>
      </c>
      <c r="B2" s="24"/>
      <c r="C2" s="24"/>
      <c r="D2" s="24"/>
      <c r="E2" s="24"/>
      <c r="F2" s="24"/>
      <c r="G2" s="24"/>
      <c r="H2" s="24"/>
    </row>
    <row r="4" spans="1:8" ht="15.95" customHeight="1" x14ac:dyDescent="0.25">
      <c r="A4" s="23" t="s">
        <v>163</v>
      </c>
      <c r="B4" s="24"/>
      <c r="C4" s="23" t="s">
        <v>164</v>
      </c>
      <c r="D4" s="24"/>
      <c r="E4" s="23" t="s">
        <v>165</v>
      </c>
      <c r="F4" s="24"/>
      <c r="G4" s="23" t="s">
        <v>166</v>
      </c>
      <c r="H4" s="24"/>
    </row>
    <row r="5" spans="1:8" ht="24" customHeight="1" x14ac:dyDescent="0.25">
      <c r="A5" s="26" t="s">
        <v>167</v>
      </c>
      <c r="B5" s="24"/>
      <c r="C5" s="26" t="s">
        <v>168</v>
      </c>
      <c r="D5" s="24"/>
      <c r="E5" s="26" t="s">
        <v>169</v>
      </c>
      <c r="F5" s="24"/>
      <c r="G5" s="26" t="s">
        <v>170</v>
      </c>
      <c r="H5" s="24"/>
    </row>
    <row r="8" spans="1:8" x14ac:dyDescent="0.25">
      <c r="A8" s="7" t="s">
        <v>171</v>
      </c>
    </row>
    <row r="9" spans="1:8" x14ac:dyDescent="0.25">
      <c r="A9" s="2" t="s">
        <v>172</v>
      </c>
      <c r="B9" s="2" t="s">
        <v>51</v>
      </c>
      <c r="C9" s="2" t="s">
        <v>53</v>
      </c>
      <c r="D9" s="2" t="s">
        <v>173</v>
      </c>
      <c r="E9" s="2" t="s">
        <v>174</v>
      </c>
    </row>
    <row r="10" spans="1:8" x14ac:dyDescent="0.25">
      <c r="A10" s="3" t="s">
        <v>175</v>
      </c>
      <c r="B10" s="8">
        <v>77482657</v>
      </c>
      <c r="C10" s="8">
        <v>2442248</v>
      </c>
      <c r="D10" s="20">
        <v>1008523959</v>
      </c>
      <c r="E10" s="15">
        <v>412.95</v>
      </c>
    </row>
    <row r="11" spans="1:8" x14ac:dyDescent="0.25">
      <c r="A11" s="5" t="s">
        <v>176</v>
      </c>
      <c r="B11" s="10">
        <v>69201207</v>
      </c>
      <c r="C11" s="10">
        <v>1341139</v>
      </c>
      <c r="D11" s="21">
        <v>511171792</v>
      </c>
      <c r="E11" s="17">
        <v>381.15</v>
      </c>
    </row>
    <row r="12" spans="1:8" x14ac:dyDescent="0.25">
      <c r="A12" s="3" t="s">
        <v>177</v>
      </c>
      <c r="B12" s="8">
        <v>63417883</v>
      </c>
      <c r="C12" s="8">
        <v>925763</v>
      </c>
      <c r="D12" s="20">
        <v>237020688</v>
      </c>
      <c r="E12" s="15">
        <v>256.02999999999997</v>
      </c>
    </row>
    <row r="13" spans="1:8" x14ac:dyDescent="0.25">
      <c r="A13" s="5" t="s">
        <v>178</v>
      </c>
      <c r="B13" s="10">
        <v>62105978</v>
      </c>
      <c r="C13" s="10">
        <v>768060</v>
      </c>
      <c r="D13" s="21">
        <v>99842875</v>
      </c>
      <c r="E13" s="17">
        <v>129.99</v>
      </c>
    </row>
    <row r="14" spans="1:8" x14ac:dyDescent="0.25">
      <c r="A14" s="3" t="s">
        <v>179</v>
      </c>
      <c r="B14" s="8">
        <v>41137209</v>
      </c>
      <c r="C14" s="8">
        <v>455370</v>
      </c>
      <c r="D14" s="20">
        <v>62552043</v>
      </c>
      <c r="E14" s="15">
        <v>137.37</v>
      </c>
    </row>
    <row r="15" spans="1:8" x14ac:dyDescent="0.25">
      <c r="A15" s="5" t="s">
        <v>180</v>
      </c>
      <c r="B15" s="10">
        <v>18733089</v>
      </c>
      <c r="C15" s="10">
        <v>202396</v>
      </c>
      <c r="D15" s="21">
        <v>49987328</v>
      </c>
      <c r="E15" s="17">
        <v>246.98</v>
      </c>
    </row>
    <row r="16" spans="1:8" x14ac:dyDescent="0.25">
      <c r="A16" s="3" t="s">
        <v>181</v>
      </c>
      <c r="B16" s="8">
        <v>16145807</v>
      </c>
      <c r="C16" s="8">
        <v>316243</v>
      </c>
      <c r="D16" s="20">
        <v>41518787</v>
      </c>
      <c r="E16" s="15">
        <v>131.29</v>
      </c>
    </row>
    <row r="17" spans="1:5" x14ac:dyDescent="0.25">
      <c r="A17" s="5" t="s">
        <v>182</v>
      </c>
      <c r="B17" s="10">
        <v>17652355</v>
      </c>
      <c r="C17" s="10">
        <v>197485</v>
      </c>
      <c r="D17" s="21">
        <v>23122285</v>
      </c>
      <c r="E17" s="17">
        <v>117.08</v>
      </c>
    </row>
    <row r="20" spans="1:5" x14ac:dyDescent="0.25">
      <c r="A20" s="22" t="s">
        <v>183</v>
      </c>
    </row>
    <row r="21" spans="1:5" x14ac:dyDescent="0.25">
      <c r="A21" s="22" t="s">
        <v>184</v>
      </c>
    </row>
    <row r="23" spans="1:5" x14ac:dyDescent="0.25">
      <c r="A23" s="7" t="s">
        <v>185</v>
      </c>
    </row>
    <row r="24" spans="1:5" x14ac:dyDescent="0.25">
      <c r="A24" s="2" t="s">
        <v>66</v>
      </c>
      <c r="B24" s="2" t="s">
        <v>53</v>
      </c>
      <c r="C24" s="2" t="s">
        <v>173</v>
      </c>
      <c r="D24" s="2" t="s">
        <v>174</v>
      </c>
      <c r="E24" s="2" t="s">
        <v>186</v>
      </c>
    </row>
    <row r="25" spans="1:5" x14ac:dyDescent="0.25">
      <c r="A25" s="3" t="s">
        <v>70</v>
      </c>
      <c r="B25" s="8">
        <v>1246326</v>
      </c>
      <c r="C25" s="20">
        <v>929321587</v>
      </c>
      <c r="D25" s="15">
        <v>745.65</v>
      </c>
      <c r="E25" s="4">
        <v>11</v>
      </c>
    </row>
    <row r="26" spans="1:5" x14ac:dyDescent="0.25">
      <c r="A26" s="5" t="s">
        <v>69</v>
      </c>
      <c r="B26" s="10">
        <v>1567074</v>
      </c>
      <c r="C26" s="21">
        <v>425423961</v>
      </c>
      <c r="D26" s="17">
        <v>271.48</v>
      </c>
      <c r="E26" s="6">
        <v>12</v>
      </c>
    </row>
    <row r="27" spans="1:5" x14ac:dyDescent="0.25">
      <c r="A27" s="3" t="s">
        <v>71</v>
      </c>
      <c r="B27" s="8">
        <v>542848</v>
      </c>
      <c r="C27" s="20">
        <v>91406924</v>
      </c>
      <c r="D27" s="15">
        <v>168.38</v>
      </c>
      <c r="E27" s="4">
        <v>13</v>
      </c>
    </row>
    <row r="28" spans="1:5" x14ac:dyDescent="0.25">
      <c r="A28" s="5" t="s">
        <v>72</v>
      </c>
      <c r="B28" s="10">
        <v>227722</v>
      </c>
      <c r="C28" s="21">
        <v>42203598</v>
      </c>
      <c r="D28" s="17">
        <v>185.33</v>
      </c>
      <c r="E28" s="6">
        <v>10</v>
      </c>
    </row>
    <row r="29" spans="1:5" x14ac:dyDescent="0.25">
      <c r="A29" s="3" t="s">
        <v>75</v>
      </c>
      <c r="B29" s="8">
        <v>91108</v>
      </c>
      <c r="C29" s="20">
        <v>38260344</v>
      </c>
      <c r="D29" s="15">
        <v>419.94</v>
      </c>
      <c r="E29" s="4">
        <v>9</v>
      </c>
    </row>
    <row r="30" spans="1:5" x14ac:dyDescent="0.25">
      <c r="A30" s="5" t="s">
        <v>187</v>
      </c>
      <c r="B30" s="10">
        <v>61939</v>
      </c>
      <c r="C30" s="21">
        <v>31996239</v>
      </c>
      <c r="D30" s="17">
        <v>516.58000000000004</v>
      </c>
      <c r="E30" s="6">
        <v>8</v>
      </c>
    </row>
    <row r="31" spans="1:5" x14ac:dyDescent="0.25">
      <c r="A31" s="3" t="s">
        <v>76</v>
      </c>
      <c r="B31" s="8">
        <v>75995</v>
      </c>
      <c r="C31" s="20">
        <v>28528875</v>
      </c>
      <c r="D31" s="15">
        <v>375.4</v>
      </c>
      <c r="E31" s="4">
        <v>12</v>
      </c>
    </row>
    <row r="32" spans="1:5" x14ac:dyDescent="0.25">
      <c r="A32" s="5" t="s">
        <v>74</v>
      </c>
      <c r="B32" s="10">
        <v>108910</v>
      </c>
      <c r="C32" s="21">
        <v>28410590</v>
      </c>
      <c r="D32" s="17">
        <v>260.86</v>
      </c>
      <c r="E32" s="6">
        <v>10</v>
      </c>
    </row>
    <row r="33" spans="1:5" x14ac:dyDescent="0.25">
      <c r="A33" s="3" t="s">
        <v>73</v>
      </c>
      <c r="B33" s="8">
        <v>119433</v>
      </c>
      <c r="C33" s="20">
        <v>26428298</v>
      </c>
      <c r="D33" s="15">
        <v>221.28</v>
      </c>
      <c r="E33" s="4">
        <v>3</v>
      </c>
    </row>
    <row r="34" spans="1:5" x14ac:dyDescent="0.25">
      <c r="A34" s="5" t="s">
        <v>188</v>
      </c>
      <c r="B34" s="10">
        <v>57028</v>
      </c>
      <c r="C34" s="21">
        <v>22197927</v>
      </c>
      <c r="D34" s="17">
        <v>389.25</v>
      </c>
      <c r="E34" s="6">
        <v>9</v>
      </c>
    </row>
  </sheetData>
  <mergeCells count="10">
    <mergeCell ref="A1:H1"/>
    <mergeCell ref="C4:D4"/>
    <mergeCell ref="A4:B4"/>
    <mergeCell ref="G4:H4"/>
    <mergeCell ref="E4:F4"/>
    <mergeCell ref="A2:H2"/>
    <mergeCell ref="C5:D5"/>
    <mergeCell ref="A5:B5"/>
    <mergeCell ref="G5:H5"/>
    <mergeCell ref="E5:F5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showGridLines="0" workbookViewId="0">
      <selection activeCell="H18" sqref="H18"/>
    </sheetView>
  </sheetViews>
  <sheetFormatPr defaultRowHeight="15" x14ac:dyDescent="0.25"/>
  <cols>
    <col min="1" max="1" width="21.42578125" customWidth="1"/>
    <col min="2" max="2" width="30.140625" customWidth="1"/>
    <col min="3" max="3" width="15" customWidth="1"/>
    <col min="4" max="4" width="14" customWidth="1"/>
    <col min="5" max="5" width="17" customWidth="1"/>
    <col min="6" max="6" width="14" customWidth="1"/>
    <col min="8" max="8" width="28.85546875" customWidth="1"/>
  </cols>
  <sheetData>
    <row r="1" spans="1:8" ht="27.95" customHeight="1" x14ac:dyDescent="0.25">
      <c r="A1" s="27" t="s">
        <v>189</v>
      </c>
      <c r="B1" s="24"/>
      <c r="C1" s="24"/>
      <c r="D1" s="24"/>
      <c r="E1" s="24"/>
      <c r="F1" s="24"/>
      <c r="G1" s="24"/>
      <c r="H1" s="24"/>
    </row>
    <row r="2" spans="1:8" ht="18" customHeight="1" x14ac:dyDescent="0.25">
      <c r="A2" s="25" t="s">
        <v>190</v>
      </c>
      <c r="B2" s="24"/>
      <c r="C2" s="24"/>
      <c r="D2" s="24"/>
      <c r="E2" s="24"/>
      <c r="F2" s="24"/>
      <c r="G2" s="24"/>
      <c r="H2" s="24"/>
    </row>
    <row r="4" spans="1:8" ht="15.95" customHeight="1" x14ac:dyDescent="0.25">
      <c r="A4" s="23" t="s">
        <v>191</v>
      </c>
      <c r="B4" s="24"/>
      <c r="C4" s="23" t="s">
        <v>192</v>
      </c>
      <c r="D4" s="24"/>
      <c r="E4" s="23" t="s">
        <v>193</v>
      </c>
      <c r="F4" s="24"/>
      <c r="G4" s="23" t="s">
        <v>194</v>
      </c>
      <c r="H4" s="24"/>
    </row>
    <row r="5" spans="1:8" ht="24" customHeight="1" x14ac:dyDescent="0.25">
      <c r="A5" s="26" t="s">
        <v>195</v>
      </c>
      <c r="B5" s="24"/>
      <c r="C5" s="26" t="s">
        <v>196</v>
      </c>
      <c r="D5" s="24"/>
      <c r="E5" s="26" t="s">
        <v>197</v>
      </c>
      <c r="F5" s="24"/>
      <c r="G5" s="26" t="s">
        <v>198</v>
      </c>
      <c r="H5" s="24"/>
    </row>
    <row r="8" spans="1:8" x14ac:dyDescent="0.25">
      <c r="A8" s="36" t="s">
        <v>199</v>
      </c>
    </row>
    <row r="9" spans="1:8" x14ac:dyDescent="0.25">
      <c r="A9" s="2" t="s">
        <v>50</v>
      </c>
      <c r="B9" s="2" t="s">
        <v>200</v>
      </c>
      <c r="C9" s="2" t="s">
        <v>201</v>
      </c>
      <c r="D9" s="2" t="s">
        <v>202</v>
      </c>
      <c r="E9" s="2" t="s">
        <v>203</v>
      </c>
      <c r="F9" s="2" t="s">
        <v>204</v>
      </c>
    </row>
    <row r="10" spans="1:8" x14ac:dyDescent="0.25">
      <c r="A10" s="3" t="s">
        <v>205</v>
      </c>
      <c r="B10" s="8">
        <v>1872</v>
      </c>
      <c r="C10" s="15">
        <v>167.12</v>
      </c>
      <c r="D10" s="15">
        <v>942.88</v>
      </c>
      <c r="E10" s="8">
        <v>269</v>
      </c>
      <c r="F10" s="9">
        <v>0.14369999999999999</v>
      </c>
    </row>
    <row r="11" spans="1:8" x14ac:dyDescent="0.25">
      <c r="A11" s="5" t="s">
        <v>63</v>
      </c>
      <c r="B11" s="10">
        <v>455370</v>
      </c>
      <c r="C11" s="17">
        <v>336.67</v>
      </c>
      <c r="D11" s="17">
        <v>2557.59</v>
      </c>
      <c r="E11" s="10">
        <v>58771</v>
      </c>
      <c r="F11" s="11">
        <v>0.12909999999999999</v>
      </c>
    </row>
    <row r="12" spans="1:8" x14ac:dyDescent="0.25">
      <c r="A12" s="3" t="s">
        <v>61</v>
      </c>
      <c r="B12" s="8">
        <v>197485</v>
      </c>
      <c r="C12" s="15">
        <v>246.22</v>
      </c>
      <c r="D12" s="15">
        <v>2574.0700000000002</v>
      </c>
      <c r="E12" s="8">
        <v>20521</v>
      </c>
      <c r="F12" s="9">
        <v>0.10390000000000001</v>
      </c>
    </row>
    <row r="13" spans="1:8" x14ac:dyDescent="0.25">
      <c r="A13" s="5" t="s">
        <v>59</v>
      </c>
      <c r="B13" s="10">
        <v>768060</v>
      </c>
      <c r="C13" s="17">
        <v>309.52</v>
      </c>
      <c r="D13" s="17">
        <v>2574.0700000000002</v>
      </c>
      <c r="E13" s="10">
        <v>79648</v>
      </c>
      <c r="F13" s="11">
        <v>0.1037</v>
      </c>
    </row>
    <row r="14" spans="1:8" x14ac:dyDescent="0.25">
      <c r="A14" s="3" t="s">
        <v>64</v>
      </c>
      <c r="B14" s="8">
        <v>10849</v>
      </c>
      <c r="C14" s="15">
        <v>78.86</v>
      </c>
      <c r="D14" s="15">
        <v>859.74</v>
      </c>
      <c r="E14" s="8">
        <v>977</v>
      </c>
      <c r="F14" s="9">
        <v>9.01E-2</v>
      </c>
    </row>
    <row r="15" spans="1:8" x14ac:dyDescent="0.25">
      <c r="A15" s="5" t="s">
        <v>206</v>
      </c>
      <c r="B15" s="10">
        <v>93757</v>
      </c>
      <c r="C15" s="17">
        <v>277.72000000000003</v>
      </c>
      <c r="D15" s="17">
        <v>2574.04</v>
      </c>
      <c r="E15" s="10">
        <v>7525</v>
      </c>
      <c r="F15" s="11">
        <v>8.0299999999999996E-2</v>
      </c>
    </row>
    <row r="16" spans="1:8" x14ac:dyDescent="0.25">
      <c r="A16" s="3" t="s">
        <v>62</v>
      </c>
      <c r="B16" s="8">
        <v>202396</v>
      </c>
      <c r="C16" s="15">
        <v>619.38</v>
      </c>
      <c r="D16" s="15">
        <v>2574.04</v>
      </c>
      <c r="E16" s="8">
        <v>18572</v>
      </c>
      <c r="F16" s="9">
        <v>9.1800000000000007E-2</v>
      </c>
    </row>
    <row r="17" spans="1:6" x14ac:dyDescent="0.25">
      <c r="A17" s="5" t="s">
        <v>56</v>
      </c>
      <c r="B17" s="10">
        <v>1341139</v>
      </c>
      <c r="C17" s="17">
        <v>1039.76</v>
      </c>
      <c r="D17" s="17">
        <v>2574.0700000000002</v>
      </c>
      <c r="E17" s="10">
        <v>78618</v>
      </c>
      <c r="F17" s="11">
        <v>5.8599999999999999E-2</v>
      </c>
    </row>
    <row r="18" spans="1:6" x14ac:dyDescent="0.25">
      <c r="A18" s="3" t="s">
        <v>55</v>
      </c>
      <c r="B18" s="8">
        <v>2442248</v>
      </c>
      <c r="C18" s="15">
        <v>1298.49</v>
      </c>
      <c r="D18" s="15">
        <v>2574.0700000000002</v>
      </c>
      <c r="E18" s="8">
        <v>118608</v>
      </c>
      <c r="F18" s="9">
        <v>4.8599999999999997E-2</v>
      </c>
    </row>
    <row r="19" spans="1:6" x14ac:dyDescent="0.25">
      <c r="A19" s="5" t="s">
        <v>57</v>
      </c>
      <c r="B19" s="10">
        <v>925763</v>
      </c>
      <c r="C19" s="17">
        <v>803.73</v>
      </c>
      <c r="D19" s="17">
        <v>2574.04</v>
      </c>
      <c r="E19" s="10">
        <v>27724</v>
      </c>
      <c r="F19" s="11">
        <v>0.03</v>
      </c>
    </row>
    <row r="22" spans="1:6" x14ac:dyDescent="0.25">
      <c r="A22" s="7" t="s">
        <v>207</v>
      </c>
    </row>
    <row r="23" spans="1:6" x14ac:dyDescent="0.25">
      <c r="A23" s="2" t="s">
        <v>208</v>
      </c>
      <c r="B23" s="30" t="s">
        <v>209</v>
      </c>
      <c r="C23" s="31"/>
      <c r="D23" s="31"/>
      <c r="E23" s="31"/>
      <c r="F23" s="31"/>
    </row>
    <row r="24" spans="1:6" x14ac:dyDescent="0.25">
      <c r="A24" s="3" t="s">
        <v>210</v>
      </c>
      <c r="B24" s="34" t="s">
        <v>211</v>
      </c>
      <c r="C24" s="35"/>
      <c r="D24" s="35"/>
      <c r="E24" s="35"/>
      <c r="F24" s="35"/>
    </row>
    <row r="25" spans="1:6" x14ac:dyDescent="0.25">
      <c r="A25" s="5" t="s">
        <v>212</v>
      </c>
      <c r="B25" s="32" t="s">
        <v>213</v>
      </c>
      <c r="C25" s="33"/>
      <c r="D25" s="33"/>
      <c r="E25" s="33"/>
      <c r="F25" s="33"/>
    </row>
    <row r="26" spans="1:6" x14ac:dyDescent="0.25">
      <c r="A26" s="3" t="s">
        <v>214</v>
      </c>
      <c r="B26" s="3" t="s">
        <v>215</v>
      </c>
    </row>
    <row r="27" spans="1:6" x14ac:dyDescent="0.25">
      <c r="A27" s="5" t="s">
        <v>216</v>
      </c>
      <c r="B27" s="32" t="s">
        <v>217</v>
      </c>
      <c r="C27" s="33"/>
      <c r="D27" s="33"/>
      <c r="E27" s="33"/>
      <c r="F27" s="33"/>
    </row>
  </sheetData>
  <mergeCells count="14">
    <mergeCell ref="A1:H1"/>
    <mergeCell ref="C4:D4"/>
    <mergeCell ref="B23:F23"/>
    <mergeCell ref="B25:F25"/>
    <mergeCell ref="B24:F24"/>
    <mergeCell ref="B27:F27"/>
    <mergeCell ref="A4:B4"/>
    <mergeCell ref="G4:H4"/>
    <mergeCell ref="E4:F4"/>
    <mergeCell ref="A2:H2"/>
    <mergeCell ref="C5:D5"/>
    <mergeCell ref="A5:B5"/>
    <mergeCell ref="G5:H5"/>
    <mergeCell ref="E5:F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4"/>
  <sheetViews>
    <sheetView showGridLines="0" tabSelected="1" workbookViewId="0">
      <selection activeCell="L5" sqref="L5"/>
    </sheetView>
  </sheetViews>
  <sheetFormatPr defaultRowHeight="15" x14ac:dyDescent="0.25"/>
  <cols>
    <col min="1" max="1" width="33" customWidth="1"/>
    <col min="2" max="2" width="21" customWidth="1"/>
    <col min="3" max="3" width="17" customWidth="1"/>
    <col min="4" max="4" width="14" customWidth="1"/>
    <col min="6" max="6" width="13.85546875" customWidth="1"/>
    <col min="8" max="8" width="12.42578125" customWidth="1"/>
  </cols>
  <sheetData>
    <row r="1" spans="1:8" ht="27.95" customHeight="1" x14ac:dyDescent="0.25">
      <c r="A1" s="27" t="s">
        <v>218</v>
      </c>
      <c r="B1" s="24"/>
      <c r="C1" s="24"/>
      <c r="D1" s="24"/>
      <c r="E1" s="24"/>
      <c r="F1" s="24"/>
      <c r="G1" s="24"/>
      <c r="H1" s="24"/>
    </row>
    <row r="2" spans="1:8" ht="18" customHeight="1" x14ac:dyDescent="0.25">
      <c r="A2" s="25" t="s">
        <v>219</v>
      </c>
      <c r="B2" s="24"/>
      <c r="C2" s="24"/>
      <c r="D2" s="24"/>
      <c r="E2" s="24"/>
      <c r="F2" s="24"/>
      <c r="G2" s="24"/>
      <c r="H2" s="24"/>
    </row>
    <row r="4" spans="1:8" ht="15.95" customHeight="1" x14ac:dyDescent="0.25">
      <c r="A4" s="23" t="s">
        <v>220</v>
      </c>
      <c r="B4" s="24"/>
      <c r="C4" s="23" t="s">
        <v>221</v>
      </c>
      <c r="D4" s="24"/>
      <c r="E4" s="23" t="s">
        <v>222</v>
      </c>
      <c r="F4" s="24"/>
      <c r="G4" s="23" t="s">
        <v>223</v>
      </c>
      <c r="H4" s="24"/>
    </row>
    <row r="5" spans="1:8" ht="24" customHeight="1" x14ac:dyDescent="0.25">
      <c r="A5" s="26" t="s">
        <v>224</v>
      </c>
      <c r="B5" s="24"/>
      <c r="C5" s="26" t="s">
        <v>225</v>
      </c>
      <c r="D5" s="24"/>
      <c r="E5" s="26" t="s">
        <v>226</v>
      </c>
      <c r="F5" s="24"/>
      <c r="G5" s="26" t="s">
        <v>227</v>
      </c>
      <c r="H5" s="24"/>
    </row>
    <row r="8" spans="1:8" x14ac:dyDescent="0.25">
      <c r="A8" s="36" t="s">
        <v>228</v>
      </c>
    </row>
    <row r="9" spans="1:8" x14ac:dyDescent="0.25">
      <c r="A9" s="2" t="s">
        <v>229</v>
      </c>
      <c r="B9" s="2" t="s">
        <v>230</v>
      </c>
      <c r="C9" s="2" t="s">
        <v>231</v>
      </c>
      <c r="D9" s="2" t="s">
        <v>232</v>
      </c>
    </row>
    <row r="10" spans="1:8" x14ac:dyDescent="0.25">
      <c r="A10" s="3" t="s">
        <v>233</v>
      </c>
      <c r="B10" s="4">
        <v>5.8400000000000001E-2</v>
      </c>
      <c r="C10" s="4">
        <v>6.8900000000000003E-2</v>
      </c>
      <c r="D10" s="4" t="s">
        <v>17</v>
      </c>
    </row>
    <row r="11" spans="1:8" x14ac:dyDescent="0.25">
      <c r="A11" s="5" t="s">
        <v>234</v>
      </c>
      <c r="B11" s="6">
        <v>307.49</v>
      </c>
      <c r="C11" s="6">
        <v>271.67</v>
      </c>
      <c r="D11" s="6" t="s">
        <v>225</v>
      </c>
    </row>
    <row r="12" spans="1:8" x14ac:dyDescent="0.25">
      <c r="A12" s="3" t="s">
        <v>235</v>
      </c>
      <c r="B12" s="4">
        <v>4.3899999999999997</v>
      </c>
      <c r="C12" s="4">
        <v>5.5</v>
      </c>
      <c r="D12" s="4" t="s">
        <v>236</v>
      </c>
    </row>
    <row r="13" spans="1:8" x14ac:dyDescent="0.25">
      <c r="A13" s="5" t="s">
        <v>237</v>
      </c>
      <c r="B13" s="6">
        <v>2.79</v>
      </c>
      <c r="C13" s="6">
        <v>3.41</v>
      </c>
      <c r="D13" s="6" t="s">
        <v>238</v>
      </c>
    </row>
    <row r="14" spans="1:8" x14ac:dyDescent="0.25">
      <c r="A14" s="3" t="s">
        <v>239</v>
      </c>
      <c r="B14" s="4">
        <v>389.23</v>
      </c>
      <c r="C14" s="4">
        <v>333.68</v>
      </c>
      <c r="D14" s="4" t="s">
        <v>240</v>
      </c>
    </row>
    <row r="17" spans="1:4" x14ac:dyDescent="0.25">
      <c r="A17" s="36" t="s">
        <v>241</v>
      </c>
    </row>
    <row r="18" spans="1:4" x14ac:dyDescent="0.25">
      <c r="A18" s="2" t="s">
        <v>172</v>
      </c>
      <c r="B18" s="2" t="s">
        <v>242</v>
      </c>
      <c r="C18" s="2" t="s">
        <v>243</v>
      </c>
      <c r="D18" s="2" t="s">
        <v>244</v>
      </c>
    </row>
    <row r="19" spans="1:4" x14ac:dyDescent="0.25">
      <c r="A19" s="3" t="s">
        <v>177</v>
      </c>
      <c r="B19" s="18">
        <v>0.1106</v>
      </c>
      <c r="C19" s="18">
        <v>0.16450000000000001</v>
      </c>
      <c r="D19" s="4">
        <v>5.4</v>
      </c>
    </row>
    <row r="20" spans="1:4" x14ac:dyDescent="0.25">
      <c r="A20" s="5" t="s">
        <v>176</v>
      </c>
      <c r="B20" s="19">
        <v>7.1900000000000006E-2</v>
      </c>
      <c r="C20" s="19">
        <v>0.1172</v>
      </c>
      <c r="D20" s="6">
        <v>4.5</v>
      </c>
    </row>
    <row r="21" spans="1:4" x14ac:dyDescent="0.25">
      <c r="A21" s="3" t="s">
        <v>179</v>
      </c>
      <c r="B21" s="18">
        <v>3.44E-2</v>
      </c>
      <c r="C21" s="18">
        <v>4.6899999999999997E-2</v>
      </c>
      <c r="D21" s="4">
        <v>1.2</v>
      </c>
    </row>
    <row r="22" spans="1:4" x14ac:dyDescent="0.25">
      <c r="A22" s="5" t="s">
        <v>178</v>
      </c>
      <c r="B22" s="19">
        <v>2.3800000000000002E-2</v>
      </c>
      <c r="C22" s="19">
        <v>4.4299999999999999E-2</v>
      </c>
      <c r="D22" s="6">
        <v>2</v>
      </c>
    </row>
    <row r="23" spans="1:4" x14ac:dyDescent="0.25">
      <c r="A23" s="3" t="s">
        <v>181</v>
      </c>
      <c r="B23" s="18">
        <v>2.8400000000000002E-2</v>
      </c>
      <c r="C23" s="18">
        <v>2.01E-2</v>
      </c>
      <c r="D23" s="4">
        <v>-0.8</v>
      </c>
    </row>
    <row r="24" spans="1:4" x14ac:dyDescent="0.25">
      <c r="A24" s="5" t="s">
        <v>180</v>
      </c>
      <c r="B24" s="19">
        <v>1.54E-2</v>
      </c>
      <c r="C24" s="19">
        <v>1.11E-2</v>
      </c>
      <c r="D24" s="6">
        <v>-0.4</v>
      </c>
    </row>
  </sheetData>
  <mergeCells count="10">
    <mergeCell ref="A1:H1"/>
    <mergeCell ref="C4:D4"/>
    <mergeCell ref="A4:B4"/>
    <mergeCell ref="G4:H4"/>
    <mergeCell ref="E4:F4"/>
    <mergeCell ref="A2:H2"/>
    <mergeCell ref="C5:D5"/>
    <mergeCell ref="A5:B5"/>
    <mergeCell ref="G5:H5"/>
    <mergeCell ref="E5:F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01 Funnel</vt:lpstr>
      <vt:lpstr>02 Sessions</vt:lpstr>
      <vt:lpstr>03 RFM</vt:lpstr>
      <vt:lpstr>04 Cohort</vt:lpstr>
      <vt:lpstr>05 Category &amp; Brand</vt:lpstr>
      <vt:lpstr>06 Anomaly Detection</vt:lpstr>
      <vt:lpstr>07 COVID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Jean-Yves TRAN</cp:lastModifiedBy>
  <dcterms:created xsi:type="dcterms:W3CDTF">2026-07-06T12:31:39Z</dcterms:created>
  <dcterms:modified xsi:type="dcterms:W3CDTF">2026-07-07T05:57:13Z</dcterms:modified>
</cp:coreProperties>
</file>